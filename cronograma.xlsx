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joao.vitor\Downloads\"/>
    </mc:Choice>
  </mc:AlternateContent>
  <xr:revisionPtr revIDLastSave="2289" documentId="13_ncr:1_{090B62DF-6024-4E1A-B1BA-2D5634CF3B61}" xr6:coauthVersionLast="47" xr6:coauthVersionMax="47" xr10:uidLastSave="{C0B4B8F6-751C-432E-BBE6-21DD5EEDE705}"/>
  <bookViews>
    <workbookView xWindow="-120" yWindow="-120" windowWidth="29040" windowHeight="15720" tabRatio="500" xr2:uid="{00000000-000D-0000-FFFF-FFFF00000000}"/>
  </bookViews>
  <sheets>
    <sheet name="Cronograma V2" sheetId="7" r:id="rId1"/>
    <sheet name="Cronograma" sheetId="6" state="hidden" r:id="rId2"/>
    <sheet name="Alterações 24-09" sheetId="2" r:id="rId3"/>
    <sheet name="Marcos externos" sheetId="3" r:id="rId4"/>
    <sheet name="Premissas" sheetId="4" r:id="rId5"/>
    <sheet name="Feriados" sheetId="5" r:id="rId6"/>
  </sheets>
  <definedNames>
    <definedName name="_xlnm._FilterDatabase" localSheetId="2" hidden="1">'Alterações 24-09'!$A$4:$E$44</definedName>
    <definedName name="_xlnm._FilterDatabase" localSheetId="1" hidden="1">Cronograma!$A$5:$L$5</definedName>
    <definedName name="_xlnm._FilterDatabase" localSheetId="0" hidden="1">'Cronograma V2'!$A$5:$L$5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8" i="7" l="1"/>
  <c r="G39" i="7"/>
  <c r="E97" i="7"/>
  <c r="F97" i="7"/>
  <c r="E129" i="7"/>
  <c r="F129" i="7"/>
  <c r="F125" i="7"/>
  <c r="E125" i="7"/>
  <c r="F107" i="7"/>
  <c r="E107" i="7"/>
  <c r="G49" i="7"/>
  <c r="G125" i="7"/>
  <c r="G126" i="7"/>
  <c r="G127" i="7"/>
  <c r="G128" i="7"/>
  <c r="G129" i="7"/>
  <c r="G130" i="7"/>
  <c r="G131" i="7"/>
  <c r="G132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08" i="7"/>
  <c r="G99" i="7"/>
  <c r="G100" i="7"/>
  <c r="G101" i="7"/>
  <c r="G102" i="7"/>
  <c r="G103" i="7"/>
  <c r="G104" i="7"/>
  <c r="G105" i="7"/>
  <c r="G106" i="7"/>
  <c r="G9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78" i="7"/>
  <c r="G70" i="7"/>
  <c r="G71" i="7"/>
  <c r="G72" i="7"/>
  <c r="G73" i="7"/>
  <c r="G74" i="7"/>
  <c r="G75" i="7"/>
  <c r="G76" i="7"/>
  <c r="G69" i="7"/>
  <c r="G65" i="7"/>
  <c r="G66" i="7"/>
  <c r="G67" i="7"/>
  <c r="G64" i="7"/>
  <c r="G22" i="7"/>
  <c r="G23" i="7"/>
  <c r="G26" i="7"/>
  <c r="G32" i="7"/>
  <c r="G25" i="7"/>
  <c r="G28" i="7"/>
  <c r="G27" i="7"/>
  <c r="G24" i="7"/>
  <c r="G31" i="7"/>
  <c r="G29" i="7"/>
  <c r="G30" i="7"/>
  <c r="G42" i="7"/>
  <c r="G43" i="7"/>
  <c r="G44" i="7"/>
  <c r="G36" i="7"/>
  <c r="G37" i="7"/>
  <c r="G55" i="7"/>
  <c r="G46" i="7"/>
  <c r="G40" i="7"/>
  <c r="G48" i="7"/>
  <c r="G50" i="7"/>
  <c r="G51" i="7"/>
  <c r="G52" i="7"/>
  <c r="G53" i="7"/>
  <c r="G54" i="7"/>
  <c r="G33" i="7"/>
  <c r="G56" i="7"/>
  <c r="G57" i="7"/>
  <c r="G58" i="7"/>
  <c r="G59" i="7"/>
  <c r="G61" i="7"/>
  <c r="G62" i="7"/>
  <c r="G47" i="7"/>
  <c r="G45" i="7"/>
  <c r="G60" i="7"/>
  <c r="G41" i="7"/>
  <c r="G34" i="7"/>
  <c r="G35" i="7"/>
  <c r="G21" i="7"/>
  <c r="G21" i="6"/>
  <c r="G9" i="7"/>
  <c r="G10" i="7"/>
  <c r="G11" i="7"/>
  <c r="G12" i="7"/>
  <c r="G13" i="7"/>
  <c r="G14" i="7"/>
  <c r="G15" i="7"/>
  <c r="G16" i="7"/>
  <c r="G17" i="7"/>
  <c r="G18" i="7"/>
  <c r="G19" i="7"/>
  <c r="G8" i="7"/>
  <c r="G7" i="6"/>
  <c r="E77" i="7"/>
  <c r="F77" i="7"/>
  <c r="I77" i="7"/>
  <c r="H77" i="7"/>
  <c r="I107" i="7"/>
  <c r="H107" i="7"/>
  <c r="G107" i="7"/>
  <c r="G97" i="7"/>
  <c r="G77" i="7"/>
  <c r="F68" i="7"/>
  <c r="E68" i="7"/>
  <c r="G68" i="7"/>
  <c r="E63" i="7"/>
  <c r="F63" i="7"/>
  <c r="G63" i="7"/>
  <c r="F20" i="7"/>
  <c r="E20" i="7"/>
  <c r="G20" i="7"/>
  <c r="E7" i="7"/>
  <c r="F7" i="7"/>
  <c r="G7" i="7"/>
  <c r="G134" i="6"/>
  <c r="G133" i="6"/>
  <c r="G130" i="6"/>
  <c r="G111" i="6"/>
  <c r="G101" i="6"/>
  <c r="G81" i="6"/>
  <c r="G70" i="6"/>
  <c r="G65" i="6"/>
  <c r="G6" i="6"/>
  <c r="I20" i="6"/>
  <c r="H20" i="6"/>
  <c r="I80" i="6"/>
  <c r="H80" i="6"/>
  <c r="H110" i="6"/>
  <c r="I110" i="6"/>
  <c r="H6" i="6"/>
  <c r="I6" i="6"/>
  <c r="G20" i="6"/>
  <c r="G64" i="6"/>
  <c r="G69" i="6"/>
  <c r="G80" i="6"/>
  <c r="G100" i="6"/>
  <c r="G110" i="6"/>
  <c r="G129" i="6"/>
  <c r="G136" i="6"/>
  <c r="G93" i="6"/>
  <c r="G35" i="6"/>
  <c r="G22" i="6"/>
  <c r="G137" i="6"/>
  <c r="G135" i="6"/>
  <c r="F133" i="6"/>
  <c r="E133" i="6"/>
  <c r="G108" i="6"/>
  <c r="G109" i="6"/>
  <c r="G76" i="6"/>
  <c r="G77" i="6"/>
  <c r="G78" i="6"/>
  <c r="G79" i="6"/>
  <c r="G57" i="6"/>
  <c r="G58" i="6"/>
  <c r="G59" i="6"/>
  <c r="G60" i="6"/>
  <c r="G61" i="6"/>
  <c r="G62" i="6"/>
  <c r="G63" i="6"/>
  <c r="G131" i="6"/>
  <c r="G96" i="6"/>
  <c r="G67" i="6"/>
  <c r="F64" i="6"/>
  <c r="F69" i="6"/>
  <c r="F80" i="6"/>
  <c r="F100" i="6"/>
  <c r="F110" i="6"/>
  <c r="F129" i="6"/>
  <c r="E129" i="6"/>
  <c r="E110" i="6"/>
  <c r="E100" i="6"/>
  <c r="E80" i="6"/>
  <c r="E64" i="6"/>
  <c r="F20" i="6"/>
  <c r="E20" i="6"/>
  <c r="F6" i="6"/>
  <c r="E6" i="6"/>
  <c r="E72" i="6"/>
  <c r="E69" i="6" s="1"/>
  <c r="G45" i="6"/>
  <c r="G46" i="6"/>
  <c r="G47" i="6"/>
  <c r="G37" i="6"/>
  <c r="G54" i="6"/>
  <c r="G55" i="6"/>
  <c r="G56" i="6"/>
  <c r="G51" i="6"/>
  <c r="G52" i="6"/>
  <c r="G26" i="6"/>
  <c r="G25" i="6"/>
  <c r="G29" i="6"/>
  <c r="G30" i="6"/>
  <c r="G31" i="6"/>
  <c r="G32" i="6"/>
  <c r="G33" i="6"/>
  <c r="G34" i="6"/>
  <c r="G36" i="6"/>
  <c r="G82" i="6"/>
  <c r="G83" i="6"/>
  <c r="G84" i="6"/>
  <c r="G85" i="6"/>
  <c r="G86" i="6"/>
  <c r="G87" i="6"/>
  <c r="G88" i="6"/>
  <c r="G89" i="6"/>
  <c r="G90" i="6"/>
  <c r="G91" i="6"/>
  <c r="G92" i="6"/>
  <c r="G94" i="6"/>
  <c r="G95" i="6"/>
  <c r="G97" i="6"/>
  <c r="G98" i="6"/>
  <c r="G99" i="6"/>
  <c r="G71" i="6"/>
  <c r="G73" i="6"/>
  <c r="G74" i="6"/>
  <c r="G75" i="6"/>
  <c r="G43" i="6"/>
  <c r="G44" i="6"/>
  <c r="G42" i="6"/>
  <c r="G23" i="6"/>
  <c r="G24" i="6"/>
  <c r="G27" i="6"/>
  <c r="G28" i="6"/>
  <c r="G8" i="6"/>
  <c r="G9" i="6"/>
  <c r="G10" i="6"/>
  <c r="G11" i="6"/>
  <c r="G12" i="6"/>
  <c r="G13" i="6"/>
  <c r="G14" i="6"/>
  <c r="G15" i="6"/>
  <c r="G16" i="6"/>
  <c r="G17" i="6"/>
  <c r="G18" i="6"/>
  <c r="G19" i="6"/>
  <c r="G38" i="6"/>
  <c r="G39" i="6"/>
  <c r="G40" i="6"/>
  <c r="G41" i="6"/>
  <c r="G48" i="6"/>
  <c r="G49" i="6"/>
  <c r="G50" i="6"/>
  <c r="G53" i="6"/>
  <c r="G66" i="6"/>
  <c r="G68" i="6"/>
  <c r="G102" i="6"/>
  <c r="G103" i="6"/>
  <c r="G104" i="6"/>
  <c r="G106" i="6"/>
  <c r="G107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32" i="6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72" i="6"/>
  <c r="E6" i="7" l="1"/>
  <c r="F6" i="7"/>
  <c r="G6" i="7" l="1"/>
</calcChain>
</file>

<file path=xl/sharedStrings.xml><?xml version="1.0" encoding="utf-8"?>
<sst xmlns="http://schemas.openxmlformats.org/spreadsheetml/2006/main" count="2366" uniqueCount="585">
  <si>
    <t>Cronograma CBS 2027</t>
  </si>
  <si>
    <t>Reforma Tributária</t>
  </si>
  <si>
    <t>Última atualização</t>
  </si>
  <si>
    <t>Previsto</t>
  </si>
  <si>
    <t> </t>
  </si>
  <si>
    <t>Real</t>
  </si>
  <si>
    <t>ID</t>
  </si>
  <si>
    <t>Marco</t>
  </si>
  <si>
    <t>Atividade</t>
  </si>
  <si>
    <t>Responsável</t>
  </si>
  <si>
    <t>Início</t>
  </si>
  <si>
    <t>Término</t>
  </si>
  <si>
    <t>Dias úteis</t>
  </si>
  <si>
    <t>Status</t>
  </si>
  <si>
    <t>Observação</t>
  </si>
  <si>
    <t>Frente</t>
  </si>
  <si>
    <t xml:space="preserve">Cronograma geral CBS 2027 </t>
  </si>
  <si>
    <t>-</t>
  </si>
  <si>
    <t>Planejamento - Tarefa 101363</t>
  </si>
  <si>
    <t>1.1</t>
  </si>
  <si>
    <t>S</t>
  </si>
  <si>
    <t>Confirmar a assinatura do contrato da JP Balaban</t>
  </si>
  <si>
    <t>Kairon Riguete</t>
  </si>
  <si>
    <t>Não iniciado</t>
  </si>
  <si>
    <t>9. Governança/PMO</t>
  </si>
  <si>
    <t>1.2</t>
  </si>
  <si>
    <t>N</t>
  </si>
  <si>
    <t>Realizar agendamento semanal de reuniões com os principais envolvidos</t>
  </si>
  <si>
    <t>Michael Albertoni</t>
  </si>
  <si>
    <t>Concluído</t>
  </si>
  <si>
    <t>1.3</t>
  </si>
  <si>
    <t>Validar cronograma com o Kairon</t>
  </si>
  <si>
    <t>1.4</t>
  </si>
  <si>
    <t>Revisar a escala de férias de fim de ano das pessoas chave</t>
  </si>
  <si>
    <t>Considerar o conflito entre férias coletivas a partir de 20/12 e a virada de regime (levantado na reunião) A Eliandra não para na virada; de 18/11 a 30/11 atende só parcialmente</t>
  </si>
  <si>
    <t>1.5</t>
  </si>
  <si>
    <t>Revisar cronograma com o dpto de controladoria e Fiscal</t>
  </si>
  <si>
    <t>1.6</t>
  </si>
  <si>
    <t>Revisar o cronograma com o dpto de contratos</t>
  </si>
  <si>
    <t>1.7</t>
  </si>
  <si>
    <t>Revisar o cronograma com o dpto Financeiro</t>
  </si>
  <si>
    <t>1.8</t>
  </si>
  <si>
    <t>Revisar o cronograma com o dpto de RH</t>
  </si>
  <si>
    <t>1.9</t>
  </si>
  <si>
    <t>Revisar o cronograma com o dpto de Supply Chain (Suprimentos e Frotas)</t>
  </si>
  <si>
    <t>1.10</t>
  </si>
  <si>
    <t>Revisar o cronograma com o dpto de T.I</t>
  </si>
  <si>
    <t>1.11</t>
  </si>
  <si>
    <t xml:space="preserve">Revisar o cronograma com a Contabilidade </t>
  </si>
  <si>
    <t>1.12</t>
  </si>
  <si>
    <t>Aprovar cronograma e modelo de status do projeto com o patrocinador</t>
  </si>
  <si>
    <t>Vitória Thums</t>
  </si>
  <si>
    <t>Parametrização do ERP Senior - Tarefa 102141</t>
  </si>
  <si>
    <t>2.1</t>
  </si>
  <si>
    <t>Confirmar a build do ERP, a versão do eDocs e o layout 2.00 da NFS-e</t>
  </si>
  <si>
    <t>Pablo e Kelvin</t>
  </si>
  <si>
    <t>4. TI/DF-e</t>
  </si>
  <si>
    <t>2.2</t>
  </si>
  <si>
    <t>Atualizar o ERP e o eDocs com a correção da Senior para as notas de devolução</t>
  </si>
  <si>
    <t>2.3</t>
  </si>
  <si>
    <t>Mapear os municípios de emissão e a situação de homologação com a Reforma</t>
  </si>
  <si>
    <t>2.4</t>
  </si>
  <si>
    <t>Atualizar o eDocs e testar a NFS-e em produção restrita nos municípios de maior volume</t>
  </si>
  <si>
    <t>Pablo</t>
  </si>
  <si>
    <t>2.5</t>
  </si>
  <si>
    <t>Parametrizar os cadastros base: NBS, serviço, IndOp, cliente, fornecedor e transações</t>
  </si>
  <si>
    <t>2.6</t>
  </si>
  <si>
    <t>Parametrizar alíquotas e aplicação da CBS</t>
  </si>
  <si>
    <t>2.7</t>
  </si>
  <si>
    <t>Habilitar o cálculo da CBS e do IBS filial a filial</t>
  </si>
  <si>
    <t>Kelvin</t>
  </si>
  <si>
    <t>2.8</t>
  </si>
  <si>
    <t>Levantar e validar tela a tela o que já está parametrizado (Saída)</t>
  </si>
  <si>
    <t>2.9</t>
  </si>
  <si>
    <t>Criar e apresentar o norteador de parametrização por ondas (o que, quais campos, quem preenche, em quantos dias)</t>
  </si>
  <si>
    <t>2.10</t>
  </si>
  <si>
    <t>Avaliar custo e risco do ambiente de homologação espelhado à produção, ou propor outra estratégia para testar a virada</t>
  </si>
  <si>
    <t>2.11</t>
  </si>
  <si>
    <t>Testar o robo validador de cenários na Senior com as notas de agosto em diante</t>
  </si>
  <si>
    <t>Adilson Alberton</t>
  </si>
  <si>
    <t>3. Fiscal/CST</t>
  </si>
  <si>
    <t>2.12</t>
  </si>
  <si>
    <t>Resolver a emissão de Lages (tag de informações do município no XML) ou escalar (Senior)</t>
  </si>
  <si>
    <t>2.13</t>
  </si>
  <si>
    <t>Acompanhar a emissão real das primeiras notas com IBS e CBS destacados</t>
  </si>
  <si>
    <t>Relatado que as notas já saem com IBS e CBS no XML. Confirmar para marcar como concluída</t>
  </si>
  <si>
    <t>2.14</t>
  </si>
  <si>
    <t>Validar se o monitoramento atual de rejeições de DF-e (eDocs) atende como painel do KPI de taxa de rejeição e, se não atender, propor o painel</t>
  </si>
  <si>
    <t>2.15</t>
  </si>
  <si>
    <t>Validar se a contingência de emissão da NFS-e (ambiente nacional ou prefeitura fora do ar) já existe e foi testada e, se não, testar</t>
  </si>
  <si>
    <t>2.16</t>
  </si>
  <si>
    <t>Enviar a controladoria fiscal a tabela com os contratos e respectivos NBS (Saida)</t>
  </si>
  <si>
    <t>Andre Desoti</t>
  </si>
  <si>
    <t>Em andamento</t>
  </si>
  <si>
    <t>2.17</t>
  </si>
  <si>
    <t>Cadastrar novos códigos de serviço no erp senior</t>
  </si>
  <si>
    <t>Robson Carvalho</t>
  </si>
  <si>
    <t>Realizar testes de emissão em homologação com os novos códigos de serviço</t>
  </si>
  <si>
    <t>Alterar os códigos de serviço para o faturamento</t>
  </si>
  <si>
    <t>Robson Carvalho com apoio do Kelvin</t>
  </si>
  <si>
    <t>2.18</t>
  </si>
  <si>
    <t>Avaliar o documento criado pelo T.I (2.9) e trazer data do cadastro</t>
  </si>
  <si>
    <t>CRIAR POR ÁREA</t>
  </si>
  <si>
    <t>2.19</t>
  </si>
  <si>
    <t>Avaliar a criação no cadastro de cliente do Senior o campo de destinatário, carregar a classificação por destinatário e refletir no faturamento e nos relatórios de receita</t>
  </si>
  <si>
    <t>Depende da classificação dos clientes por destinatário (tarefa removida do cronograma)</t>
  </si>
  <si>
    <t>2.20</t>
  </si>
  <si>
    <t>Levantar e validar tela a tela o que já está parametrizado (Entrada)</t>
  </si>
  <si>
    <t>2.21</t>
  </si>
  <si>
    <t>Avaliar quem ira validar a base de NBS, serviço e IndOP na entrada</t>
  </si>
  <si>
    <t>2.22</t>
  </si>
  <si>
    <t>Confirmar se o cadastro de fornecedores atual (na senior) está atendendo a reforma tributária</t>
  </si>
  <si>
    <t>Suprimentos</t>
  </si>
  <si>
    <t>2.23</t>
  </si>
  <si>
    <t>Definir o reconhecimento do débito referente as vendas para entes governamentais (nota de débito)</t>
  </si>
  <si>
    <t>Depende da 2.36. Confirmar com a Senior se a funcionalidade já está liberada</t>
  </si>
  <si>
    <t>2.24</t>
  </si>
  <si>
    <t>Parametrizar o cClassTrib e zerar os cenários abertos no analisador</t>
  </si>
  <si>
    <t>Giselle</t>
  </si>
  <si>
    <t>Depende da 7.2 (lista de cClassTrib por cliente, do Contratos)</t>
  </si>
  <si>
    <t>2.25</t>
  </si>
  <si>
    <t>Definir a regra da dupla nota fiscal no setor público: NF de fornecimento na medição atestada (destaque informativo no grupo gTribCompraGov, com redutor de ente) e NF de pagamento na data do recebimento, com a alíquota vigente nessa data e referenciando a NF de fornecimento</t>
  </si>
  <si>
    <t xml:space="preserve"> A NF de pagamento é a que gera o débito na apuração assistida. Base para a 2.37, 4.9 e 6.9</t>
  </si>
  <si>
    <t>2.26</t>
  </si>
  <si>
    <t>Enviar a base de produtos e serviços à Brunetto e receber o cruzamento de NCM/NBS com os anexos da lei</t>
  </si>
  <si>
    <t>Juliano Liberato</t>
  </si>
  <si>
    <t>A Brunetto já mandou essa base no fim de 2025; agora devolve atualizada, com o aproveitamento de crédito de cada item</t>
  </si>
  <si>
    <t>2.27</t>
  </si>
  <si>
    <t>Retornar ao Fiscal a base de produtos com o cruzamento de NCM/NBS de todos os produtos</t>
  </si>
  <si>
    <t>Brunetto e Juliano</t>
  </si>
  <si>
    <t>2.28</t>
  </si>
  <si>
    <t>Revisar a base recebida pela Brunetto</t>
  </si>
  <si>
    <t>Juliano Liberato/Fernando</t>
  </si>
  <si>
    <t>2.29</t>
  </si>
  <si>
    <t xml:space="preserve">Carregar no ERP a base de produtos NBS/CBS </t>
  </si>
  <si>
    <t>Jober</t>
  </si>
  <si>
    <t>2.30</t>
  </si>
  <si>
    <t>Enviar à Controladoria (Adilson) a alíquota oficial de CBS assim que for publicada</t>
  </si>
  <si>
    <t>Eliandra Fraron</t>
  </si>
  <si>
    <t>Publicação prevista até 15/12 (Senado); a Eliandra acha que pode sair dia 20. Informação pública: a Controladoria também pode pegar direto</t>
  </si>
  <si>
    <t>5. Contábil</t>
  </si>
  <si>
    <t>2.31</t>
  </si>
  <si>
    <t>Atualizar o valor correto de aplicação CBS na senior</t>
  </si>
  <si>
    <t>2.32</t>
  </si>
  <si>
    <t>Validar na emissão da nota se a alíquota cadastrada está saindo correta</t>
  </si>
  <si>
    <t>Eliandra (02/10): IBS, CBS e cClassTrib já enviados pela Contabilidade à Controladoria</t>
  </si>
  <si>
    <t>2.33</t>
  </si>
  <si>
    <t>Revisar as todas as transações do erp Senior referente a Reforma tributária</t>
  </si>
  <si>
    <t>2.34</t>
  </si>
  <si>
    <t>Parametrizar os layouts de nota de débito e nota de crédito</t>
  </si>
  <si>
    <t>2.35</t>
  </si>
  <si>
    <t>Acompanhar o enquadramento da Bogo Locações na segunda onda da NFS-e</t>
  </si>
  <si>
    <t>2.36</t>
  </si>
  <si>
    <t>Parametrizar as transações com IBS e CBS (inclusive as de Suprimentos) e a integração contábil nas novas contas</t>
  </si>
  <si>
    <t>2.37</t>
  </si>
  <si>
    <t>Lançar notas de teste com IBS e CBS na base de homologação, conferindo se a contabilização cai na conta correta</t>
  </si>
  <si>
    <t>2.38</t>
  </si>
  <si>
    <t>Testar na base de homologação o ciclo completo do setor público</t>
  </si>
  <si>
    <t>Depende da 2.37. Serviço de dez/26 pago em jan/27 já cai na CBS plena</t>
  </si>
  <si>
    <t>2.39</t>
  </si>
  <si>
    <t>Testar a integração fiscal-contábil das notas de teste e conciliar o razão</t>
  </si>
  <si>
    <t xml:space="preserve">Prazo de 1 semana: testa, devolve, corrige e testa de novo. Depende das notas de teste na homologação </t>
  </si>
  <si>
    <t>2.40</t>
  </si>
  <si>
    <t>Carregar as alíquotas oficiais e homologar a apuração de 2027</t>
  </si>
  <si>
    <t>Marcada para confirmar. Atenção: em janeiro a apuração de dezembro ainda é PIS e Cofins</t>
  </si>
  <si>
    <t>Alteração do regime de apuração - Tarefa 102141</t>
  </si>
  <si>
    <t>3.1</t>
  </si>
  <si>
    <t>Definir o que muda na virada no faturamento e o que segue no regime atual até o fechamento de dezembro</t>
  </si>
  <si>
    <t>3.2</t>
  </si>
  <si>
    <t>Parametrizar o encerramento do regime cumulativo e a apuração da CBS com crédito e nova transação e forma de contabilização</t>
  </si>
  <si>
    <t>3.3</t>
  </si>
  <si>
    <t>Testar na base de homologação o fluxo do crédito de IBS e CBS na entrada (a apropriar, a compensar e encontro com o débito)</t>
  </si>
  <si>
    <t>Adilson Alberton e Eliandra Fraron</t>
  </si>
  <si>
    <t>Apuração assistida a partir de 01/01/2027. A Receita ainda não liberou o detalhe de como operacionalizar; na prática, só em janeiro</t>
  </si>
  <si>
    <t>3.4</t>
  </si>
  <si>
    <t>Testar a virada em paralelo com um mês fechado</t>
  </si>
  <si>
    <t>Na reunião foi dito que o mês fechado do paralelo é janeiro. Revisar as datas</t>
  </si>
  <si>
    <t>Controladoria, Fiscal e Contabilidade - Tarefa 102123</t>
  </si>
  <si>
    <t>4.1</t>
  </si>
  <si>
    <t>Confirmar por escrito o tratamento do crédito de vale-alimentação e refeição após a LC 227/2026</t>
  </si>
  <si>
    <t>JP Balaban</t>
  </si>
  <si>
    <t>1. Benefícios</t>
  </si>
  <si>
    <t>4.2</t>
  </si>
  <si>
    <t>Validar a lista de produtos e serviços que geram crédito de CBS</t>
  </si>
  <si>
    <t> Depois da assinatura do contrato e parametrização do sistema</t>
  </si>
  <si>
    <t>4.3</t>
  </si>
  <si>
    <t>Definir, transação a transação, o que é creditável na entrada (depende da 4.2)</t>
  </si>
  <si>
    <t>4.4</t>
  </si>
  <si>
    <t>Nomear o responsável pelo controle de créditos de IBS e CBS</t>
  </si>
  <si>
    <t>4.5</t>
  </si>
  <si>
    <t>Levantar e documentar os saldos de PIS e Cofins com memória de cálculo</t>
  </si>
  <si>
    <t>Adilson Alberton com JB balaban</t>
  </si>
  <si>
    <t>4.6</t>
  </si>
  <si>
    <t>Adequar o plano de contas e confirmar a abertura das contas de IBS e CBS</t>
  </si>
  <si>
    <t>Pré-requisito da 2.32. A 2.31 cita que a Eliandra cria as contas no fiscal de outubro</t>
  </si>
  <si>
    <t>4.7</t>
  </si>
  <si>
    <t>Realizar o inventário do estoque em 31/12/2026</t>
  </si>
  <si>
    <t>Eliandra Fraron e Fernando Gomes</t>
  </si>
  <si>
    <t>Atenção ao conflito com as férias coletivas a partir de 20/12 (1.4)</t>
  </si>
  <si>
    <t>4.8</t>
  </si>
  <si>
    <t>Fechar a primeira apuração real de CBS (Refente ao Mês 01/2027)</t>
  </si>
  <si>
    <t xml:space="preserve">Suprimentos - Tarefa 102147 </t>
  </si>
  <si>
    <t>5.1</t>
  </si>
  <si>
    <t>Orientar os fornecedores estratégicos do Simples sobre a opção pelo regime regular (Facilities e Foods)</t>
  </si>
  <si>
    <t>Fernando Gomes</t>
  </si>
  <si>
    <t>5.2</t>
  </si>
  <si>
    <t>Orientar os fornecedores estratégicos do Simples sobre a opção pelo regime regular (Frota)</t>
  </si>
  <si>
    <t>Eduardo Santos</t>
  </si>
  <si>
    <t>5.3</t>
  </si>
  <si>
    <t>Consolidar a base de fornecedores por regime tributário e negócio: Facilities e Foods</t>
  </si>
  <si>
    <t>Formulário enviado aos fornecedores; nem todos responderam. Base para a 5.12</t>
  </si>
  <si>
    <t>5.4</t>
  </si>
  <si>
    <t>Consolidar a base de fornecedores por regime tributário e negócio: Frota</t>
  </si>
  <si>
    <t>5.5</t>
  </si>
  <si>
    <t>Separar os fornecedores do Simples Nacional (Facilities e Foods)</t>
  </si>
  <si>
    <t>5.6</t>
  </si>
  <si>
    <t>Separar os fornecedores do Simples Nacional (Frota)</t>
  </si>
  <si>
    <t>5.7</t>
  </si>
  <si>
    <t>Enviar ao Financeiro a lista de fornecedores com o regime tributário e o impacto de IBS e CBS de cada um</t>
  </si>
  <si>
    <t>Fernando Gomes e Eduardo Santos</t>
  </si>
  <si>
    <t>Depois das 5.3 e 5.4. Classificação com orientação da Controladoria (Juliano Liberato). Pré-requisito da 6.6, 6.2 e 6.5</t>
  </si>
  <si>
    <t>5.8</t>
  </si>
  <si>
    <t>Definir com os fornecedores a rotina de recolhimento para evitar pagamento em duplicidade</t>
  </si>
  <si>
    <t>Brunetto e Suprimentos</t>
  </si>
  <si>
    <t>Depende da reunião com a Brunetto (1.11). Não é especialidade de Suprimentos; a ferramenta da JP Balaban pode trazer essa base</t>
  </si>
  <si>
    <t>5.9</t>
  </si>
  <si>
    <t>Calcular o crédito que deixaremos de aproveitar com os fornecedores do Simples não optantes</t>
  </si>
  <si>
    <t>Depende da nova consulta à Receita (06/11), feita depois do comunicado de 30/10</t>
  </si>
  <si>
    <t>5.10</t>
  </si>
  <si>
    <t>Levantar se é possível concentrar as compras até 20/12 (Suprimentos e Foods)</t>
  </si>
  <si>
    <t>Foods, que é o maior volume, deve conseguir. Facilities tem contratos de transporte que exigem nota. Estimativa, não número exato</t>
  </si>
  <si>
    <t>5.11</t>
  </si>
  <si>
    <t>Levantar se é possível concentrar as compras até 20/12 (Frota)</t>
  </si>
  <si>
    <t>Aluguel dá para adiantar; manutenção só em parte; abastecimento e conserto emergencial não têm como</t>
  </si>
  <si>
    <t>5.12</t>
  </si>
  <si>
    <t>Definir a data de corte de compras garantindo o recebimento até 20/12 (Suprimentos e Foods)</t>
  </si>
  <si>
    <t>Depende da 5.7. Substitui a antiga 4.14 (fechamento de dezembro e corte de 31/12)</t>
  </si>
  <si>
    <t>5.13</t>
  </si>
  <si>
    <t>Definir a data de corte de compras garantindo o recebimento até 20/12 (Frota)</t>
  </si>
  <si>
    <t>Depende da 5.8</t>
  </si>
  <si>
    <t>5.14</t>
  </si>
  <si>
    <t>Elaborar e publicar a política de compras por preço líquido de crédito</t>
  </si>
  <si>
    <t>Depende das alíquotas oficiais (Senado, até 15/12)</t>
  </si>
  <si>
    <t>5.15</t>
  </si>
  <si>
    <t>Renegociar os itens de maior valor da curva ABC dos fornecedores que mais compramos</t>
  </si>
  <si>
    <t>A renegociação já é rotina; aqui entra o novo preço com a alíquota oficial</t>
  </si>
  <si>
    <t>5.16</t>
  </si>
  <si>
    <t>Orientar e Acompanhar Suprimentos e Frota a lançar o IBS e a CBS da nota de entrada exatamente como vêm do fornecedor, sem ajuste manual</t>
  </si>
  <si>
    <t>Juliano Liberato, com Fernando Gomes e Eduardo Santos</t>
  </si>
  <si>
    <t>Na apuração assistida a Receita usa o que está na nota do fornecedor; ajuste manual no lançamento não entra. Vale a partir de 01/01/2027</t>
  </si>
  <si>
    <t>5.17</t>
  </si>
  <si>
    <t>Avaliar a contratação ou o desenvolvimento de ferramenta de análise de cotações por preço líquido de crédito</t>
  </si>
  <si>
    <t>5.18</t>
  </si>
  <si>
    <t>Revisar janela de opção do Simples dos fornecedores(Suprimentos e Foods)</t>
  </si>
  <si>
    <t>Nova rodada com os fornecedores que não optaram; efeito no 2º semestre de 2027</t>
  </si>
  <si>
    <t>5.19</t>
  </si>
  <si>
    <t>Revisar janela de opção do Simples dos fornecedores (Frota)</t>
  </si>
  <si>
    <t>Financeiro - Tarefa 102137 (Split payment prorrogado para 2028)</t>
  </si>
  <si>
    <t>6.1</t>
  </si>
  <si>
    <t>Gerar o relatório de contas a receber com os principais clientes (maiores, médios e menores) e as datas de pagamento atuais</t>
  </si>
  <si>
    <t>Lucas Moraes</t>
  </si>
  <si>
    <t>8. Financeiro/Caixa</t>
  </si>
  <si>
    <t>6.2</t>
  </si>
  <si>
    <t>Levantar os principais fornecedores e as datas de pagamento considerando o crédito de CBS e IBS do estudo da Controladoria e de Suprimentos</t>
  </si>
  <si>
    <t>O Financeiro não enxerga a tributação do fornecedor no contas a pagar. Prorrogada até a entrega da 5.12; datas a definir</t>
  </si>
  <si>
    <t>6.3</t>
  </si>
  <si>
    <t>Levantar o faturamento público de nov e dez/26 com recebimento previsto em 2027 (parcela que já cai na CBS plena pelo fato gerador no pagamento)</t>
  </si>
  <si>
    <t>6.4</t>
  </si>
  <si>
    <t>Incluir no modelo de caixa 2027 o débito da CBS na data do recebimento e o prazo médio de recebimento por órgão</t>
  </si>
  <si>
    <t>Depende da 6.8 e da 2.36. Insumo para a 6.2 e a 6.7</t>
  </si>
  <si>
    <t>6.5</t>
  </si>
  <si>
    <t>Analisar o impacto na liquidez e no endividamento (Novembro e Dezembro)</t>
  </si>
  <si>
    <t>Depende da 5.12: quando Suprimentos entregar a lista com a tributação, segue para o Lucas estimar o impacto</t>
  </si>
  <si>
    <t>6.6</t>
  </si>
  <si>
    <t>Fazer e apresentar o caixa atual, o capital de giro disponível hoje e o impacto da CBS e do IBS</t>
  </si>
  <si>
    <t>Hoje não existe apuração do caixa atual; entrega até o fim de dezembro. O impacto de IBS e CBS depende da 5.12</t>
  </si>
  <si>
    <t>6.7</t>
  </si>
  <si>
    <t>Apresentar o ciclo financeiro mensalmente e mantê-lo atualizado (Nov-Mar)</t>
  </si>
  <si>
    <t>Início em 01/11 (01/10 inviável). Ciclo = giro de estoque + prazo de recebimento + prazo de pagamento. Depende do giro de estoque de Suprimentos (sem atividade no cronograma)</t>
  </si>
  <si>
    <t>6.8</t>
  </si>
  <si>
    <t>Revisar as cláusulas de cessão de recebíveis e os covenants</t>
  </si>
  <si>
    <t>Lucas vai verificar se existe contrato com covenants afetados. A cessão de recebíveis é feita pelo valor líquido</t>
  </si>
  <si>
    <t>6.9</t>
  </si>
  <si>
    <t xml:space="preserve">N </t>
  </si>
  <si>
    <t>Elaborar a análise de risco com foco na NCG e no impacto das decisões no Balanço e na sustentabilidade da empresa</t>
  </si>
  <si>
    <t>Levantar o capital de giro hoje e o descasamento entre receber, pagar e estoque. Depende de 6.3, 6.6, 6.2 e 6.5</t>
  </si>
  <si>
    <t>Comercial e Contratos</t>
  </si>
  <si>
    <t>7.1</t>
  </si>
  <si>
    <t>Preparar o modelo de pedido de reequilíbrio para contratos públicos</t>
  </si>
  <si>
    <t>André Desoti</t>
  </si>
  <si>
    <t>7. Jurídico/Reequilíbrio</t>
  </si>
  <si>
    <t>7.2</t>
  </si>
  <si>
    <t>Disponibilizar a lista de cClassTrib de cada serviço faturado, por cliente (todos os clientes)</t>
  </si>
  <si>
    <t>7.3</t>
  </si>
  <si>
    <t>Elaborar o modelo de aditivo privado com cláusula de ajuste de alíquota</t>
  </si>
  <si>
    <t>Confirmar com o André se é o mesmo documento da 7.5</t>
  </si>
  <si>
    <t>6. Comercial/Pricing</t>
  </si>
  <si>
    <t>7.4</t>
  </si>
  <si>
    <t>Aprovar modelo de reequilibrio com a presidencia e consultoria</t>
  </si>
  <si>
    <t>Presidencia</t>
  </si>
  <si>
    <t>7.5</t>
  </si>
  <si>
    <t>Montar o plano de ação e a memória de cálculo dos maiores contratos</t>
  </si>
  <si>
    <t>7.6</t>
  </si>
  <si>
    <t>Preparar os pedidos de reequilíbrio para os 20 maiores contratos</t>
  </si>
  <si>
    <t>7.7</t>
  </si>
  <si>
    <t>Definir estratégia de notificação dos 20 maiores contratos</t>
  </si>
  <si>
    <t>7.8</t>
  </si>
  <si>
    <t>Preparar os pedidos de reequilíbrio para os demais contratos</t>
  </si>
  <si>
    <t>Antes: pilotos de 5 a 10 contratos</t>
  </si>
  <si>
    <t>7.9</t>
  </si>
  <si>
    <t>Notificar a primeira leva de pedidos de reequilíbrio (20 maiores)</t>
  </si>
  <si>
    <t>Antes: protocolar a primeira leva de pedidos de reequilíbrio</t>
  </si>
  <si>
    <t>7.10</t>
  </si>
  <si>
    <t>Notificar 100% dos clientes</t>
  </si>
  <si>
    <t>Antes: só clientes privados</t>
  </si>
  <si>
    <t>7.11</t>
  </si>
  <si>
    <t>Monitorar a assinatura de aditivos e reequilíbrios de 100% dos clientes (Montar Painel?)</t>
  </si>
  <si>
    <t>Antes: assinar os aditivos dos clientes privados</t>
  </si>
  <si>
    <t>7.12</t>
  </si>
  <si>
    <t>Buscar o faturamento de dezembro de todos os serviços faturados em dezembro</t>
  </si>
  <si>
    <t>7.13</t>
  </si>
  <si>
    <t>Acompanhar o primeiro faturamento no novo regime</t>
  </si>
  <si>
    <t>7.14</t>
  </si>
  <si>
    <t>Simular a carteira em três cenarios de alíquotas</t>
  </si>
  <si>
    <t>7.15</t>
  </si>
  <si>
    <t>Recalcular os preços da carteira após a publicação da alíquota de CBS</t>
  </si>
  <si>
    <t>Clayton</t>
  </si>
  <si>
    <t>Depende da publicação da alíquota</t>
  </si>
  <si>
    <t>7.16</t>
  </si>
  <si>
    <t>Manter e acompanhar a ressalva tributária em 100% das prorrogações</t>
  </si>
  <si>
    <t>7.17</t>
  </si>
  <si>
    <t>Manter e acompanhar a ressalva tributária em 100% das propostas</t>
  </si>
  <si>
    <t>RH e Benefícios</t>
  </si>
  <si>
    <t>8.1</t>
  </si>
  <si>
    <t>Reunir as convenções coletivas com previsão de vale-alimentação, refeição, transporte e saúde</t>
  </si>
  <si>
    <t>Lucélia</t>
  </si>
  <si>
    <t>8.2</t>
  </si>
  <si>
    <t>Definir Modelo de notificação para as operadoras de beneficio</t>
  </si>
  <si>
    <t>Validar com o dpto Juridico (ver se a bogo que faz isso ou a T+)</t>
  </si>
  <si>
    <t>8.3</t>
  </si>
  <si>
    <t>Notificar as operadoras de benefício sobre a emissão de nota com imposto destacado</t>
  </si>
  <si>
    <t>Operações / Foods e Merenda</t>
  </si>
  <si>
    <t>9.1</t>
  </si>
  <si>
    <t>Separar o faturamento do Foods entre venda de produto da cesta básica (alíquota zero) e venda de refeição (tributada)</t>
  </si>
  <si>
    <t>Fernando Gomes e Gisele</t>
  </si>
  <si>
    <t> Objetivo: saber quanto da receita da Foods terá CBS.</t>
  </si>
  <si>
    <t>2. Foods e Merenda</t>
  </si>
  <si>
    <t>9.2</t>
  </si>
  <si>
    <t>Cadastrar o cClassTrib correto nos clientes de merenda</t>
  </si>
  <si>
    <t>Juliando Liberato</t>
  </si>
  <si>
    <t>9.3</t>
  </si>
  <si>
    <t>Calcular, por empresa, quanto de crédito de CBS o Foods terá nas compras e comparar com a meta estabelecida</t>
  </si>
  <si>
    <t>Fernando Gomes e Juliano Liberato</t>
  </si>
  <si>
    <t> Depende da 9.1 e da 2.27 (produtos cadastrados com NCM). Alimenta o painel da 1.13</t>
  </si>
  <si>
    <t>Revisar o cronograma com o dpto Comercial</t>
  </si>
  <si>
    <t>1.13</t>
  </si>
  <si>
    <t xml:space="preserve">	Revisar o cronograma com o Patrocinador e aprovar o painel mensal de KPIs ao Conselho (rejeição de DF-e, captura de créditos por categoria em R$ e %, claims protocolados e deferidos em 90 dias, aderência ao cronograma, desvio orçamentário e metas por empresa: CO, Grabin, Terceirize e Bogo)</t>
  </si>
  <si>
    <t>Avaliar a migração das prefeituras de Lages para o ambiente nacional</t>
  </si>
  <si>
    <t xml:space="preserve">Kelvin </t>
  </si>
  <si>
    <t>Validar os cadastros base de NBS, serviço e IndOP (Saida)</t>
  </si>
  <si>
    <t>Validar fornecedor</t>
  </si>
  <si>
    <t xml:space="preserve">Validar transações </t>
  </si>
  <si>
    <t>Informar o valor correto de aplicação CBS na senior</t>
  </si>
  <si>
    <t>Validar na emissão da nota se a alíquota cadastrada pelo Adilson está saindo correta</t>
  </si>
  <si>
    <t>Depende da 7.3 (lista de cClassTrib por cliente, do Contratos)</t>
  </si>
  <si>
    <t>Apresentar o norteador de parametrização por ondas (o que, quais campos, quem preenche, em quantos dias)</t>
  </si>
  <si>
    <t>Avaliar possibilidade de listar os cadastros que o Contratos precisa fazer para a nota de saída, com prazo para cada um</t>
  </si>
  <si>
    <t>Levantamento na senior para parametrização dos produtos ativos (NBS e NCM), priorizando os de maior giro</t>
  </si>
  <si>
    <t>Enviar a base de produtos à Brunetto e receber o cruzamento de NCM com os anexos da lei</t>
  </si>
  <si>
    <t>Comparar a base de NCM antiga da Brunetto com a nova</t>
  </si>
  <si>
    <t>Fernando Gomes, com Jober e Eliandra</t>
  </si>
  <si>
    <t>Depende da 2.24. Base para a 2.26 (parametrizar os produtos ativos com NBS e NCM)</t>
  </si>
  <si>
    <t>Parametrizar todos os produtos ativos com NBS NCM</t>
  </si>
  <si>
    <t xml:space="preserve">	Avaliar custo e risco do ambiente de homologação espelhado à produção, ou propor outra estratégia para testar a virada</t>
  </si>
  <si>
    <t>Validar o item 2.33 com nota de teste, conferindo se a contabilização cai na conta correta</t>
  </si>
  <si>
    <t>Eliandra (02/10): coincide com o envio, o cadastro e a validação da alíquota oficial. Com o processo testado, é só trocar para a alíquota oficial</t>
  </si>
  <si>
    <t xml:space="preserve"> A NF de pagamento é a que gera o débito na apuração assistida. Base para a 2.38, 4.10 e 6.9</t>
  </si>
  <si>
    <t>Parametrizar no ERP Senior e no eDocs a emissão da NF de fornecimento (gTribCompraGov) e da NF de pagamento vinculada à ordem bancária</t>
  </si>
  <si>
    <t>Depende da 2.37. Confirmar com a Senior se a funcionalidade já está liberada</t>
  </si>
  <si>
    <t>Testar na base de homologação o ciclo completo do setor público: medição, NF de fornecimento, ordem bancária, NF de pagamento e apuração</t>
  </si>
  <si>
    <t>Pablo e Adilson Alberton</t>
  </si>
  <si>
    <t>Depende da 2.38. Serviço de dez/26 pago em jan/27 já cai na CBS plena</t>
  </si>
  <si>
    <t xml:space="preserve">	Classificar a carteira de clientes por destinatário: administração direta, estatal e privado</t>
  </si>
  <si>
    <t>Giselle, com André Desoti</t>
  </si>
  <si>
    <t>2.41</t>
  </si>
  <si>
    <t>Criar no cadastro de cliente do Senior o campo de destinatário, carregar a classificação da 2.40 e refletir no faturamento e nos relatórios de receita</t>
  </si>
  <si>
    <t>Depende da 2.40</t>
  </si>
  <si>
    <t>2.42</t>
  </si>
  <si>
    <t>2.43</t>
  </si>
  <si>
    <t>Aloísio Grunow</t>
  </si>
  <si>
    <t>Entregar a lista de produtos e serviços que geram crédito de CBS</t>
  </si>
  <si>
    <t>Definir, transação a transação, o que é creditável na entrada (depende da 4.1)</t>
  </si>
  <si>
    <t>Fechar a primeira apuração real de CBS</t>
  </si>
  <si>
    <t>Adequar o plano de contas à OT CFC 1/2026 e confirmar a abertura das contas de IBS e CBS</t>
  </si>
  <si>
    <t>Eliandra Fraron, com Fernando Gomes</t>
  </si>
  <si>
    <t>4.9</t>
  </si>
  <si>
    <t>Concluir a consolidação da Grabin</t>
  </si>
  <si>
    <t> Confirmar o escopo com a Brunetto</t>
  </si>
  <si>
    <t>4.10</t>
  </si>
  <si>
    <t xml:space="preserve">	Definir e testar a conciliação entre ordem bancária, NF de fornecimento, NF de pagamento e apuração</t>
  </si>
  <si>
    <t>Depende da 2.39</t>
  </si>
  <si>
    <t>Formulário enviado aos fornecedores; nem todos responderam. Base para a 5.13</t>
  </si>
  <si>
    <t>Depende da reunião com a Brunetto (1.12). Não é especialidade de Suprimentos; a ferramenta da JP Balaban pode trazer essa base</t>
  </si>
  <si>
    <t>Depois das 5.3 e 5.4. Classificação com orientação da Controladoria (Juliano Liberato). Pré-requisito da 6.2, 6.5 e 6.6</t>
  </si>
  <si>
    <t>Hoje não existe apuração do caixa atual; entrega até o fim de dezembro. O impacto de IBS e CBS depende da 5.13</t>
  </si>
  <si>
    <t>Início em 01/11 (01/10 inviável). Ciclo = giro de estoque + prazo de recebimento + prazo de pagamento. Depende da 5.12</t>
  </si>
  <si>
    <t>A definir</t>
  </si>
  <si>
    <t>O Financeiro não enxerga a tributação do fornecedor no contas a pagar. Prorrogada até a entrega da 5.13; datas a definir</t>
  </si>
  <si>
    <t>Depende da 5.13: quando Suprimentos entregar a lista com a tributação, segue para o Lucas estimar o impacto</t>
  </si>
  <si>
    <t>Levantar o capital de giro hoje e o descasamento entre receber, pagar e estoque. Depende de 6.2, 6.3, 6.5 e 6.6</t>
  </si>
  <si>
    <t>Depende da 6.8 e da 2.37. Insumo para a 6.2 e a 6.7</t>
  </si>
  <si>
    <t>Aprovar modelo com a presidencia e consultoria</t>
  </si>
  <si>
    <t>Definir estratégia de notificação dos 20 primeiros contratos</t>
  </si>
  <si>
    <t>Monitorar a assinatura de aditivos e reequilíbrios de 100% dos clientes</t>
  </si>
  <si>
    <t>Avaliar a possibilidade de antecipar o faturamento para dezembro</t>
  </si>
  <si>
    <t>Validar com o faturamento as alíquotas de CBS antes do início do faturamento de 01/2027</t>
  </si>
  <si>
    <t>Antes do 1º faturamento de janeiro</t>
  </si>
  <si>
    <t>7.18</t>
  </si>
  <si>
    <t>Simular a carteira em três alíquotas</t>
  </si>
  <si>
    <t xml:space="preserve">	Confirmar e evidenciar com a Balaban que a merenda escolar paga a alíquota cheia de CBS</t>
  </si>
  <si>
    <t>Adilson Alberton, com Aloísio Grunow</t>
  </si>
  <si>
    <t>Posição da Balaban: merenda é refeição, não é cesta básica nem entra na redução de 40% de restaurantes. Origem: item 2 da pauta Balaban (slide 11). Depende da 7.3</t>
  </si>
  <si>
    <t>9.4</t>
  </si>
  <si>
    <t>Alterações da reunião com Controladoria/Fiscal (24/09/2026)</t>
  </si>
  <si>
    <t>DITO = decidido na reunião (fala ou edição feita na planilha durante a reunião). INFERIDO = ajuste feito na organização do arquivo, validar.</t>
  </si>
  <si>
    <t>ID novo</t>
  </si>
  <si>
    <t>ID anterior</t>
  </si>
  <si>
    <t>Tipo</t>
  </si>
  <si>
    <t>O que mudou</t>
  </si>
  <si>
    <t>Base</t>
  </si>
  <si>
    <t>Alterada</t>
  </si>
  <si>
    <t>Correção de texto: "reunões" para "reuniões"</t>
  </si>
  <si>
    <t>DITO</t>
  </si>
  <si>
    <t>DeRE retirada; mantida só a cobrança das APIs de apuração da CBS (saem entre outubro e novembro)</t>
  </si>
  <si>
    <t>Registrado que o único problema é Medianeira (Bogo Locações), a ver com a T.I.</t>
  </si>
  <si>
    <t>Incluída</t>
  </si>
  <si>
    <t>Validar a parametrização do item 2.7. Responsável: Eliandra Fraron. Datas a definir</t>
  </si>
  <si>
    <t>Passa a depender da lista de cClassTrib por cliente (7.2)</t>
  </si>
  <si>
    <t>Robô diagnóstico identificado como ferramenta da Senior; ver acesso com a T.I.</t>
  </si>
  <si>
    <t>Responsável: Giselle para Adilson Alberton</t>
  </si>
  <si>
    <t>Retirada a "DeRE 2/2" das entregas Senior de novembro</t>
  </si>
  <si>
    <t>Responsável: Kelvin para Eliandra Fraron</t>
  </si>
  <si>
    <t>Validar a integração contábil (2.18) com nota de teste. Responsável: Juliano Liberato. Datas a definir</t>
  </si>
  <si>
    <t>Responsável: Kelvin para Eliandra Fraron. Marcada para confirmar</t>
  </si>
  <si>
    <t>2.3, 2.11, 2.13</t>
  </si>
  <si>
    <t>2.3, 2.10, 2.12</t>
  </si>
  <si>
    <t>Status a confirmar</t>
  </si>
  <si>
    <t>Relatadas como já realizadas (eDocs na última versão, notas saindo com IBS e CBS). Status não alterado até confirmação</t>
  </si>
  <si>
    <t>Incluída "nova transação e forma de contabilização". Responsável: Kelvin para Adilson Alberton</t>
  </si>
  <si>
    <t>Responsável: Giselle para Adilson Alberton. Dito que o mês fechado do paralelo é janeiro (datas a revisar)</t>
  </si>
  <si>
    <t>Movida</t>
  </si>
  <si>
    <t>Acompanhar o primeiro faturamento no novo regime foi para Comercial e Contratos</t>
  </si>
  <si>
    <t>Removida</t>
  </si>
  <si>
    <t>Parecer sobre a DeRE: a DeRE não se aplica ao Grupo</t>
  </si>
  <si>
    <t>Registrada a dependência da lista de créditos (4.3)</t>
  </si>
  <si>
    <t>Inconsistências de PIS e Cofins apontadas pela Receita: rotina, não é do projeto</t>
  </si>
  <si>
    <t>Política contábil de 2026 com a auditoria</t>
  </si>
  <si>
    <t>Centros de custo de merenda e refeição corporativa: já resolvido</t>
  </si>
  <si>
    <t>A confirmar</t>
  </si>
  <si>
    <t>Contas de IBS e CBS provavelmente já abertas no plano de contas</t>
  </si>
  <si>
    <t>4.11</t>
  </si>
  <si>
    <t>Mapear editais com exigência de índices ou faturamento mínimo</t>
  </si>
  <si>
    <t>4.12</t>
  </si>
  <si>
    <t>Base pro forma para o orçamento 2027 (linha apagada na reunião)</t>
  </si>
  <si>
    <t>4.13</t>
  </si>
  <si>
    <t>Apuração de teste mensal até o dia 20 (linha apagada na reunião)</t>
  </si>
  <si>
    <t>4.14</t>
  </si>
  <si>
    <t>Movida e reescrita</t>
  </si>
  <si>
    <t>Fechamento de dezembro e corte de 31/12 virou data de corte de compras de Suprimentos (recebimento até 20/12)</t>
  </si>
  <si>
    <t>4.15</t>
  </si>
  <si>
    <t>Simular a virada completa com alíquotas oficiais: só é possível com a integração rodando em jan/fev</t>
  </si>
  <si>
    <t>4.16</t>
  </si>
  <si>
    <t>Nota explicativa de 2026: rotina anual</t>
  </si>
  <si>
    <t>4.17</t>
  </si>
  <si>
    <t>Responsável: Giselle para Eliandra Fraron</t>
  </si>
  <si>
    <t>6 (seção)</t>
  </si>
  <si>
    <t>Registrado no título que o split payment foi prorrogado para 2028</t>
  </si>
  <si>
    <t>Responsável: André Desoti para Clayton. Ordem 1</t>
  </si>
  <si>
    <t>Lista de cClassTrib por serviço e por cliente (todos). André Desoti. Urgente (ordem 1.1)</t>
  </si>
  <si>
    <t>Responsável: Ingrid Perez para André Desoti. Confirmar se é o mesmo documento da 7.4</t>
  </si>
  <si>
    <t>Preparar o modelo de pedido de reequilíbrio para contratos públicos. André Desoti</t>
  </si>
  <si>
    <t>De "pilotos de 5 a 10 contratos" para todos os contratos</t>
  </si>
  <si>
    <t>De "clientes privados" para 100% dos clientes; passa a vir depois do protocolo</t>
  </si>
  <si>
    <t>De "assinar os aditivos dos clientes privados" para monitorar a assinatura de aditivos e reequilíbrios de 100% dos clientes</t>
  </si>
  <si>
    <t>Avaliar antecipar o faturamento para dezembro. Kairon Riguete</t>
  </si>
  <si>
    <t>Validar as alíquotas de CBS com o faturamento antes do início do faturamento de 01/2027. André Desoti</t>
  </si>
  <si>
    <t>Reordenada</t>
  </si>
  <si>
    <t>Simulação da carteira marcada como n/a na ordem. Confirmar se sai</t>
  </si>
  <si>
    <t>Seção 7</t>
  </si>
  <si>
    <t>Seção reordenada pela sequência definida na reunião (coluna Observação traz a ordem)</t>
  </si>
  <si>
    <t>Marcos externos</t>
  </si>
  <si>
    <t>Datas definidas por lei, ato normativo ou fornecedor, fora do controle do projeto</t>
  </si>
  <si>
    <t>Data</t>
  </si>
  <si>
    <t>Fonte</t>
  </si>
  <si>
    <t>Quem define</t>
  </si>
  <si>
    <t>Atividades vinculadas</t>
  </si>
  <si>
    <t>Dias até o marco</t>
  </si>
  <si>
    <t>E01</t>
  </si>
  <si>
    <t>Fim da janela de opção pelo Simples e pelo regime regular de IBS e CBS para o 1º semestre de 2027</t>
  </si>
  <si>
    <t>Resoluções CGSN 190 e 191/2026</t>
  </si>
  <si>
    <t>Fornecedores do Simples</t>
  </si>
  <si>
    <t>S03</t>
  </si>
  <si>
    <t>E02</t>
  </si>
  <si>
    <t>NFS-e com destaque obrigatório de IBS e CBS</t>
  </si>
  <si>
    <t>Ato Conjunto RFB/CGIBS nº 4/2026</t>
  </si>
  <si>
    <t>Receita Federal e CGIBS</t>
  </si>
  <si>
    <t>T11, T12, T13</t>
  </si>
  <si>
    <t>E03</t>
  </si>
  <si>
    <t>DeRE passa a receber os eventos de tabela do contribuinte</t>
  </si>
  <si>
    <t>Comunicado SPED</t>
  </si>
  <si>
    <t>Receita Federal</t>
  </si>
  <si>
    <t>Não se aplica (DeRE fora do escopo)</t>
  </si>
  <si>
    <t>E04</t>
  </si>
  <si>
    <t>API de apuração da CBS: consulta de débitos e créditos (início de outubro)</t>
  </si>
  <si>
    <t>Documentação técnica RFB de 14/09/2026</t>
  </si>
  <si>
    <t>T02</t>
  </si>
  <si>
    <t>E05</t>
  </si>
  <si>
    <t>Publicação dos leiautes de nota de débito e nota de crédito (previsão)</t>
  </si>
  <si>
    <t>Reunião de TI</t>
  </si>
  <si>
    <t>T15</t>
  </si>
  <si>
    <t>E06</t>
  </si>
  <si>
    <t>Cálculos do TCU encaminhados ao Senado</t>
  </si>
  <si>
    <t>Prazos da alíquota de referência prorrogados em 45 dias</t>
  </si>
  <si>
    <t>TCU</t>
  </si>
  <si>
    <t>E07</t>
  </si>
  <si>
    <t>API de apuração da CBS: pagamentos e recolhimentos pelo adquirente (início de novembro)</t>
  </si>
  <si>
    <t>E08</t>
  </si>
  <si>
    <t>Prazo para correção das inconsistências de PIS e Cofins apontadas pela Receita</t>
  </si>
  <si>
    <t>Memorando Contábil 18/09</t>
  </si>
  <si>
    <t>Atividade removida na reunião</t>
  </si>
  <si>
    <t>E09</t>
  </si>
  <si>
    <t>Primeira entrega mensal da DeRE, competência outubro (prazo legal 15/11, domingo)</t>
  </si>
  <si>
    <t>E10</t>
  </si>
  <si>
    <t>Prazo para o fornecedor cancelar a opção feita em setembro</t>
  </si>
  <si>
    <t>S05</t>
  </si>
  <si>
    <t>E11</t>
  </si>
  <si>
    <t>Entregas Senior de novembro: split payment, conciliação da apuração, DeRE 2/2</t>
  </si>
  <si>
    <t>Calendário de liberações Senior</t>
  </si>
  <si>
    <t>Senior</t>
  </si>
  <si>
    <t>T17</t>
  </si>
  <si>
    <t>E12</t>
  </si>
  <si>
    <t>API de apuração da CBS: emissão de DARF RAD e PCONT (fim de novembro)</t>
  </si>
  <si>
    <t>F02</t>
  </si>
  <si>
    <t>E13</t>
  </si>
  <si>
    <t>Segunda onda da NFS-e, incluindo locações</t>
  </si>
  <si>
    <t>T16</t>
  </si>
  <si>
    <t>E14</t>
  </si>
  <si>
    <t>Prazo máximo para definição da alíquota de referência pelo Senado</t>
  </si>
  <si>
    <t>Senado Federal</t>
  </si>
  <si>
    <t>T20, K06</t>
  </si>
  <si>
    <t>E15</t>
  </si>
  <si>
    <t>Fim do PIS e da Cofins e fim da tolerância de não rejeição da NFS-e sem IBS e CBS</t>
  </si>
  <si>
    <t>LC 214/2025 e Ato Conjunto RFB/CGIBS nº 4/2026</t>
  </si>
  <si>
    <t>K13</t>
  </si>
  <si>
    <t>E16</t>
  </si>
  <si>
    <t>Nova janela de opção do Simples, com efeito no 2º semestre de 2027</t>
  </si>
  <si>
    <t>S09</t>
  </si>
  <si>
    <t>E17</t>
  </si>
  <si>
    <t>Split payment facultativo, somente entre empresas (informado na reunião como prorrogado para 2028; confirmar o ato)</t>
  </si>
  <si>
    <t>Memorando ERP 18/09</t>
  </si>
  <si>
    <t>F08</t>
  </si>
  <si>
    <t>Premissas</t>
  </si>
  <si>
    <t>Nº</t>
  </si>
  <si>
    <t>Premissa</t>
  </si>
  <si>
    <t>Datas legais conforme os atos publicados até 18/09/2026.</t>
  </si>
  <si>
    <t>Datas internas propostas, sujeitas à validação com Kairon Riguete.</t>
  </si>
  <si>
    <t>Prazos que caíam em fim de semana ou feriado foram antecipados para o dia útil anterior.</t>
  </si>
  <si>
    <t>Reunião semanal de status às sextas-feiras, com as principais lideranças.</t>
  </si>
  <si>
    <t>Equipe de TI e Controladoria trabalhando em sala dedicada, em blocos diários.</t>
  </si>
  <si>
    <t>Melhorias e customizações de TI suspensas; suporte à operação e ao faturamento mantidos.</t>
  </si>
  <si>
    <t>Fechamento de dezembro de 2026 no regime atual; novo regime aplicado a partir da virada.</t>
  </si>
  <si>
    <t>Split payment informado na reunião de 24/09 como prorrogado para 2028 (confirmar o ato); fora do horizonte deste cronograma.</t>
  </si>
  <si>
    <t>Automação da separação de documentos por cliente tratada no projeto de IA corporativa.</t>
  </si>
  <si>
    <t>Contrato da JP Balaban pendente de assinatura; atividades da consultoria condicionadas à assinatura.</t>
  </si>
  <si>
    <t>Horizonte do cronograma: 21/09/2026 a 31/03/2027.</t>
  </si>
  <si>
    <t>DeRE não se aplica às empresas do Grupo (decisão da reunião de 24/09).</t>
  </si>
  <si>
    <t>Datas das atividades novas ou sem data serão confirmadas com cada área responsável.</t>
  </si>
  <si>
    <t>Feriado</t>
  </si>
  <si>
    <t>Nossa Senhora Aparecida</t>
  </si>
  <si>
    <t>Finados</t>
  </si>
  <si>
    <t>Proclamação da República</t>
  </si>
  <si>
    <t>Dia da Consciência Negra</t>
  </si>
  <si>
    <t>Natal</t>
  </si>
  <si>
    <t>Confraternização Universal</t>
  </si>
  <si>
    <t>Carnaval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</si>
</sst>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>
    <font>
      <sz val="11"/>
      <color theme="1"/>
      <name val="Calibri"/>
      <family val="2"/>
      <charset val="1"/>
    </font>
    <font>
      <b/>
      <sz val="14"/>
      <color rgb="FF1F3864"/>
      <name val="Arial"/>
      <family val="2"/>
      <charset val="1"/>
    </font>
    <font>
      <sz val="10"/>
      <color rgb="FF595959"/>
      <name val="Arial"/>
      <family val="2"/>
      <charset val="1"/>
    </font>
    <font>
      <b/>
      <sz val="10"/>
      <name val="Arial"/>
      <family val="2"/>
      <charset val="1"/>
    </font>
    <font>
      <i/>
      <sz val="9"/>
      <name val="Arial"/>
      <charset val="1"/>
    </font>
    <font>
      <b/>
      <sz val="10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sz val="10"/>
      <name val="Arial"/>
      <family val="2"/>
      <charset val="1"/>
    </font>
    <font>
      <b/>
      <sz val="14"/>
      <color rgb="FF1F3864"/>
      <name val="Arial"/>
      <charset val="1"/>
    </font>
    <font>
      <b/>
      <sz val="14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FFFFFF"/>
      <name val="Arial"/>
      <charset val="1"/>
    </font>
    <font>
      <sz val="10"/>
      <color rgb="FF000000"/>
      <name val="Arial"/>
      <family val="2"/>
      <charset val="1"/>
    </font>
    <font>
      <sz val="10"/>
      <name val="Arial"/>
      <charset val="1"/>
    </font>
    <font>
      <sz val="10"/>
      <color rgb="FF000000"/>
      <name val="Arial"/>
      <charset val="1"/>
    </font>
    <font>
      <sz val="10"/>
      <color rgb="FFFF000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3"/>
      <name val="Arial"/>
      <family val="2"/>
      <charset val="1"/>
    </font>
    <font>
      <sz val="10"/>
      <color theme="1"/>
      <name val="Arial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4CCCC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DCE6F2"/>
      </patternFill>
    </fill>
    <fill>
      <patternFill patternType="solid">
        <fgColor rgb="FFDCE6F1"/>
        <bgColor rgb="FFD9E1F2"/>
      </patternFill>
    </fill>
    <fill>
      <patternFill patternType="solid">
        <fgColor rgb="FFD8E4BC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8E4BC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5" fillId="2" borderId="2" xfId="0" applyFont="1" applyFill="1" applyBorder="1"/>
    <xf numFmtId="0" fontId="7" fillId="0" borderId="2" xfId="0" applyFont="1" applyBorder="1"/>
    <xf numFmtId="14" fontId="7" fillId="0" borderId="2" xfId="0" applyNumberFormat="1" applyFont="1" applyBorder="1"/>
    <xf numFmtId="14" fontId="0" fillId="0" borderId="0" xfId="0" applyNumberForma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4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/>
    </xf>
    <xf numFmtId="0" fontId="7" fillId="9" borderId="6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vertical="center"/>
    </xf>
    <xf numFmtId="14" fontId="7" fillId="9" borderId="6" xfId="0" applyNumberFormat="1" applyFont="1" applyFill="1" applyBorder="1" applyAlignment="1">
      <alignment vertical="center"/>
    </xf>
    <xf numFmtId="0" fontId="0" fillId="9" borderId="0" xfId="0" applyFill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10" borderId="6" xfId="0" applyFont="1" applyFill="1" applyBorder="1" applyAlignment="1">
      <alignment vertical="center" wrapText="1"/>
    </xf>
    <xf numFmtId="0" fontId="11" fillId="9" borderId="6" xfId="0" applyFont="1" applyFill="1" applyBorder="1" applyAlignment="1">
      <alignment vertical="center" wrapText="1"/>
    </xf>
    <xf numFmtId="0" fontId="7" fillId="8" borderId="6" xfId="0" applyFont="1" applyFill="1" applyBorder="1" applyAlignment="1">
      <alignment vertical="center" wrapText="1"/>
    </xf>
    <xf numFmtId="0" fontId="7" fillId="8" borderId="6" xfId="0" applyFont="1" applyFill="1" applyBorder="1" applyAlignment="1">
      <alignment vertical="center"/>
    </xf>
    <xf numFmtId="0" fontId="7" fillId="11" borderId="6" xfId="0" applyFont="1" applyFill="1" applyBorder="1" applyAlignment="1">
      <alignment vertical="center" wrapText="1"/>
    </xf>
    <xf numFmtId="0" fontId="7" fillId="11" borderId="6" xfId="0" applyFont="1" applyFill="1" applyBorder="1" applyAlignment="1">
      <alignment vertical="center"/>
    </xf>
    <xf numFmtId="0" fontId="7" fillId="12" borderId="6" xfId="0" applyFont="1" applyFill="1" applyBorder="1" applyAlignment="1">
      <alignment vertical="center" wrapText="1"/>
    </xf>
    <xf numFmtId="0" fontId="7" fillId="12" borderId="6" xfId="0" applyFont="1" applyFill="1" applyBorder="1" applyAlignment="1">
      <alignment vertical="center"/>
    </xf>
    <xf numFmtId="14" fontId="7" fillId="12" borderId="6" xfId="0" applyNumberFormat="1" applyFont="1" applyFill="1" applyBorder="1" applyAlignment="1">
      <alignment vertical="center"/>
    </xf>
    <xf numFmtId="0" fontId="11" fillId="12" borderId="6" xfId="0" applyFont="1" applyFill="1" applyBorder="1" applyAlignment="1">
      <alignment vertical="center" wrapText="1"/>
    </xf>
    <xf numFmtId="0" fontId="12" fillId="12" borderId="6" xfId="0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0" fillId="0" borderId="7" xfId="0" applyBorder="1" applyAlignment="1">
      <alignment vertical="center"/>
    </xf>
    <xf numFmtId="0" fontId="7" fillId="9" borderId="8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0" fillId="9" borderId="7" xfId="0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7" fillId="9" borderId="8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6" fillId="3" borderId="0" xfId="0" applyFont="1" applyFill="1" applyAlignment="1">
      <alignment vertical="center"/>
    </xf>
    <xf numFmtId="0" fontId="0" fillId="0" borderId="10" xfId="0" applyBorder="1" applyAlignment="1">
      <alignment vertical="center"/>
    </xf>
    <xf numFmtId="0" fontId="7" fillId="9" borderId="10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/>
    </xf>
    <xf numFmtId="0" fontId="13" fillId="2" borderId="11" xfId="0" applyFont="1" applyFill="1" applyBorder="1" applyAlignment="1">
      <alignment vertical="center" wrapText="1"/>
    </xf>
    <xf numFmtId="0" fontId="0" fillId="13" borderId="7" xfId="0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0" fillId="0" borderId="0" xfId="0" applyNumberFormat="1" applyFont="1" applyAlignment="1">
      <alignment vertical="center"/>
    </xf>
    <xf numFmtId="14" fontId="5" fillId="2" borderId="3" xfId="0" applyNumberFormat="1" applyFont="1" applyFill="1" applyBorder="1" applyAlignment="1">
      <alignment vertical="center" wrapText="1"/>
    </xf>
    <xf numFmtId="14" fontId="5" fillId="2" borderId="6" xfId="0" applyNumberFormat="1" applyFont="1" applyFill="1" applyBorder="1" applyAlignment="1">
      <alignment vertical="center" wrapText="1"/>
    </xf>
    <xf numFmtId="14" fontId="6" fillId="3" borderId="6" xfId="0" applyNumberFormat="1" applyFont="1" applyFill="1" applyBorder="1" applyAlignment="1">
      <alignment vertical="center"/>
    </xf>
    <xf numFmtId="14" fontId="7" fillId="0" borderId="6" xfId="0" applyNumberFormat="1" applyFont="1" applyBorder="1" applyAlignment="1">
      <alignment vertical="center"/>
    </xf>
    <xf numFmtId="14" fontId="6" fillId="3" borderId="7" xfId="0" applyNumberFormat="1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14" fontId="12" fillId="12" borderId="6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14" fontId="12" fillId="9" borderId="6" xfId="0" applyNumberFormat="1" applyFont="1" applyFill="1" applyBorder="1" applyAlignment="1">
      <alignment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vertical="center" wrapText="1"/>
    </xf>
    <xf numFmtId="0" fontId="12" fillId="8" borderId="6" xfId="0" applyFont="1" applyFill="1" applyBorder="1" applyAlignment="1">
      <alignment vertical="center"/>
    </xf>
    <xf numFmtId="14" fontId="13" fillId="2" borderId="6" xfId="0" applyNumberFormat="1" applyFont="1" applyFill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0" borderId="0" xfId="0" applyFont="1"/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/>
    </xf>
    <xf numFmtId="0" fontId="12" fillId="17" borderId="7" xfId="0" applyFont="1" applyFill="1" applyBorder="1" applyAlignment="1">
      <alignment horizontal="center" vertical="center"/>
    </xf>
    <xf numFmtId="0" fontId="12" fillId="17" borderId="7" xfId="0" applyFont="1" applyFill="1" applyBorder="1" applyAlignment="1">
      <alignment vertical="center"/>
    </xf>
    <xf numFmtId="0" fontId="12" fillId="17" borderId="7" xfId="0" applyFont="1" applyFill="1" applyBorder="1" applyAlignment="1">
      <alignment vertical="center" wrapText="1"/>
    </xf>
    <xf numFmtId="14" fontId="12" fillId="17" borderId="7" xfId="0" applyNumberFormat="1" applyFont="1" applyFill="1" applyBorder="1" applyAlignment="1">
      <alignment vertical="center"/>
    </xf>
    <xf numFmtId="0" fontId="7" fillId="21" borderId="7" xfId="0" applyFont="1" applyFill="1" applyBorder="1" applyAlignment="1">
      <alignment horizontal="center" vertical="center"/>
    </xf>
    <xf numFmtId="0" fontId="7" fillId="18" borderId="7" xfId="0" applyFont="1" applyFill="1" applyBorder="1" applyAlignment="1">
      <alignment horizontal="center" vertical="center"/>
    </xf>
    <xf numFmtId="0" fontId="7" fillId="18" borderId="7" xfId="0" applyFont="1" applyFill="1" applyBorder="1" applyAlignment="1">
      <alignment vertical="center"/>
    </xf>
    <xf numFmtId="0" fontId="7" fillId="18" borderId="7" xfId="0" applyFont="1" applyFill="1" applyBorder="1" applyAlignment="1">
      <alignment vertical="center" wrapText="1"/>
    </xf>
    <xf numFmtId="14" fontId="7" fillId="17" borderId="7" xfId="0" applyNumberFormat="1" applyFont="1" applyFill="1" applyBorder="1" applyAlignment="1">
      <alignment vertical="center"/>
    </xf>
    <xf numFmtId="0" fontId="7" fillId="17" borderId="7" xfId="0" applyFont="1" applyFill="1" applyBorder="1" applyAlignment="1">
      <alignment vertical="center"/>
    </xf>
    <xf numFmtId="0" fontId="7" fillId="17" borderId="7" xfId="0" applyFont="1" applyFill="1" applyBorder="1" applyAlignment="1">
      <alignment vertical="center" wrapText="1"/>
    </xf>
    <xf numFmtId="0" fontId="7" fillId="17" borderId="7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vertical="center"/>
    </xf>
    <xf numFmtId="0" fontId="7" fillId="16" borderId="7" xfId="0" applyFont="1" applyFill="1" applyBorder="1" applyAlignment="1">
      <alignment vertical="center" wrapText="1"/>
    </xf>
    <xf numFmtId="14" fontId="7" fillId="16" borderId="7" xfId="0" applyNumberFormat="1" applyFont="1" applyFill="1" applyBorder="1" applyAlignment="1">
      <alignment vertical="center"/>
    </xf>
    <xf numFmtId="14" fontId="15" fillId="16" borderId="7" xfId="0" applyNumberFormat="1" applyFont="1" applyFill="1" applyBorder="1" applyAlignment="1">
      <alignment vertical="center"/>
    </xf>
    <xf numFmtId="0" fontId="10" fillId="0" borderId="7" xfId="0" applyFont="1" applyBorder="1"/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14" fontId="21" fillId="0" borderId="7" xfId="0" applyNumberFormat="1" applyFont="1" applyBorder="1" applyAlignment="1">
      <alignment horizontal="center" vertical="center"/>
    </xf>
    <xf numFmtId="14" fontId="21" fillId="0" borderId="7" xfId="0" applyNumberFormat="1" applyFont="1" applyBorder="1" applyAlignment="1">
      <alignment vertical="center"/>
    </xf>
    <xf numFmtId="0" fontId="21" fillId="0" borderId="7" xfId="0" applyFont="1" applyBorder="1" applyAlignment="1">
      <alignment vertical="center" wrapText="1"/>
    </xf>
    <xf numFmtId="0" fontId="21" fillId="0" borderId="0" xfId="0" applyFont="1" applyAlignment="1">
      <alignment vertical="center"/>
    </xf>
    <xf numFmtId="0" fontId="21" fillId="12" borderId="7" xfId="0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vertical="center"/>
    </xf>
    <xf numFmtId="14" fontId="21" fillId="12" borderId="7" xfId="0" applyNumberFormat="1" applyFont="1" applyFill="1" applyBorder="1" applyAlignment="1">
      <alignment horizontal="center" vertical="center"/>
    </xf>
    <xf numFmtId="14" fontId="21" fillId="12" borderId="7" xfId="0" applyNumberFormat="1" applyFont="1" applyFill="1" applyBorder="1" applyAlignment="1">
      <alignment vertical="center"/>
    </xf>
    <xf numFmtId="0" fontId="12" fillId="21" borderId="7" xfId="0" applyFont="1" applyFill="1" applyBorder="1" applyAlignment="1">
      <alignment horizontal="center" vertical="center"/>
    </xf>
    <xf numFmtId="0" fontId="12" fillId="16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wrapText="1"/>
    </xf>
    <xf numFmtId="0" fontId="6" fillId="14" borderId="7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vertical="center"/>
    </xf>
    <xf numFmtId="0" fontId="6" fillId="14" borderId="7" xfId="0" applyFont="1" applyFill="1" applyBorder="1" applyAlignment="1">
      <alignment vertical="center" wrapText="1"/>
    </xf>
    <xf numFmtId="0" fontId="10" fillId="15" borderId="7" xfId="0" applyFont="1" applyFill="1" applyBorder="1"/>
    <xf numFmtId="0" fontId="7" fillId="0" borderId="7" xfId="0" applyFont="1" applyBorder="1" applyAlignment="1">
      <alignment horizontal="center" vertical="center"/>
    </xf>
    <xf numFmtId="0" fontId="10" fillId="17" borderId="7" xfId="0" applyFont="1" applyFill="1" applyBorder="1"/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14" fontId="7" fillId="0" borderId="7" xfId="0" applyNumberFormat="1" applyFont="1" applyBorder="1" applyAlignment="1">
      <alignment vertical="center"/>
    </xf>
    <xf numFmtId="14" fontId="16" fillId="16" borderId="7" xfId="0" applyNumberFormat="1" applyFont="1" applyFill="1" applyBorder="1" applyAlignment="1">
      <alignment vertical="center"/>
    </xf>
    <xf numFmtId="0" fontId="16" fillId="21" borderId="7" xfId="0" applyFont="1" applyFill="1" applyBorder="1" applyAlignment="1">
      <alignment vertical="center"/>
    </xf>
    <xf numFmtId="14" fontId="16" fillId="17" borderId="7" xfId="0" applyNumberFormat="1" applyFont="1" applyFill="1" applyBorder="1" applyAlignment="1">
      <alignment vertical="center"/>
    </xf>
    <xf numFmtId="0" fontId="7" fillId="21" borderId="7" xfId="0" applyFont="1" applyFill="1" applyBorder="1" applyAlignment="1">
      <alignment vertical="center"/>
    </xf>
    <xf numFmtId="0" fontId="7" fillId="21" borderId="7" xfId="0" applyFont="1" applyFill="1" applyBorder="1" applyAlignment="1">
      <alignment vertical="center" wrapText="1"/>
    </xf>
    <xf numFmtId="0" fontId="17" fillId="16" borderId="7" xfId="0" applyFont="1" applyFill="1" applyBorder="1" applyAlignment="1">
      <alignment vertical="center" wrapText="1"/>
    </xf>
    <xf numFmtId="0" fontId="18" fillId="18" borderId="7" xfId="0" applyFont="1" applyFill="1" applyBorder="1" applyAlignment="1">
      <alignment vertical="center" wrapText="1"/>
    </xf>
    <xf numFmtId="0" fontId="18" fillId="18" borderId="7" xfId="0" applyFont="1" applyFill="1" applyBorder="1" applyAlignment="1">
      <alignment vertical="center"/>
    </xf>
    <xf numFmtId="0" fontId="7" fillId="19" borderId="7" xfId="0" applyFont="1" applyFill="1" applyBorder="1" applyAlignment="1">
      <alignment vertical="center" wrapText="1"/>
    </xf>
    <xf numFmtId="0" fontId="12" fillId="18" borderId="7" xfId="0" applyFont="1" applyFill="1" applyBorder="1" applyAlignment="1">
      <alignment horizontal="center" vertical="center"/>
    </xf>
    <xf numFmtId="0" fontId="7" fillId="22" borderId="7" xfId="0" applyFont="1" applyFill="1" applyBorder="1" applyAlignment="1">
      <alignment vertical="center"/>
    </xf>
    <xf numFmtId="0" fontId="7" fillId="8" borderId="7" xfId="0" applyFont="1" applyFill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14" fontId="15" fillId="24" borderId="7" xfId="0" applyNumberFormat="1" applyFont="1" applyFill="1" applyBorder="1" applyAlignment="1">
      <alignment vertical="center"/>
    </xf>
    <xf numFmtId="0" fontId="7" fillId="24" borderId="7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6" fillId="17" borderId="7" xfId="0" applyFont="1" applyFill="1" applyBorder="1" applyAlignment="1">
      <alignment vertical="center"/>
    </xf>
    <xf numFmtId="0" fontId="19" fillId="9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0" fontId="16" fillId="16" borderId="7" xfId="0" applyFont="1" applyFill="1" applyBorder="1" applyAlignment="1">
      <alignment vertical="center"/>
    </xf>
    <xf numFmtId="0" fontId="7" fillId="20" borderId="7" xfId="0" applyFont="1" applyFill="1" applyBorder="1" applyAlignment="1">
      <alignment horizontal="center" vertical="center"/>
    </xf>
    <xf numFmtId="0" fontId="7" fillId="20" borderId="7" xfId="0" applyFont="1" applyFill="1" applyBorder="1" applyAlignment="1">
      <alignment vertical="center"/>
    </xf>
    <xf numFmtId="0" fontId="7" fillId="20" borderId="7" xfId="0" applyFont="1" applyFill="1" applyBorder="1" applyAlignment="1">
      <alignment vertical="center" wrapText="1"/>
    </xf>
    <xf numFmtId="0" fontId="7" fillId="23" borderId="7" xfId="0" applyFont="1" applyFill="1" applyBorder="1" applyAlignment="1">
      <alignment vertical="center" wrapText="1"/>
    </xf>
    <xf numFmtId="0" fontId="12" fillId="9" borderId="7" xfId="0" applyFont="1" applyFill="1" applyBorder="1" applyAlignment="1">
      <alignment horizontal="center" vertical="center"/>
    </xf>
    <xf numFmtId="0" fontId="20" fillId="13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 wrapText="1"/>
    </xf>
    <xf numFmtId="0" fontId="19" fillId="24" borderId="7" xfId="0" applyFont="1" applyFill="1" applyBorder="1" applyAlignment="1">
      <alignment horizontal="center" vertical="center"/>
    </xf>
    <xf numFmtId="14" fontId="15" fillId="0" borderId="7" xfId="0" applyNumberFormat="1" applyFont="1" applyBorder="1" applyAlignment="1">
      <alignment vertical="center"/>
    </xf>
    <xf numFmtId="0" fontId="7" fillId="8" borderId="7" xfId="0" applyFont="1" applyFill="1" applyBorder="1" applyAlignment="1">
      <alignment horizontal="center" vertical="center"/>
    </xf>
    <xf numFmtId="0" fontId="21" fillId="24" borderId="7" xfId="0" applyFont="1" applyFill="1" applyBorder="1" applyAlignment="1">
      <alignment horizontal="center" vertical="center"/>
    </xf>
    <xf numFmtId="14" fontId="5" fillId="2" borderId="7" xfId="0" applyNumberFormat="1" applyFont="1" applyFill="1" applyBorder="1" applyAlignment="1">
      <alignment vertical="center" wrapText="1"/>
    </xf>
    <xf numFmtId="14" fontId="13" fillId="2" borderId="7" xfId="0" applyNumberFormat="1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14" fontId="5" fillId="2" borderId="3" xfId="0" applyNumberFormat="1" applyFont="1" applyFill="1" applyBorder="1" applyAlignment="1">
      <alignment vertical="center" wrapText="1"/>
    </xf>
    <xf numFmtId="14" fontId="5" fillId="2" borderId="4" xfId="0" applyNumberFormat="1" applyFont="1" applyFill="1" applyBorder="1" applyAlignment="1">
      <alignment vertical="center" wrapText="1"/>
    </xf>
    <xf numFmtId="0" fontId="16" fillId="25" borderId="7" xfId="0" applyFont="1" applyFill="1" applyBorder="1" applyAlignment="1">
      <alignment vertical="center" wrapText="1"/>
    </xf>
    <xf numFmtId="0" fontId="7" fillId="12" borderId="7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vertical="center"/>
    </xf>
    <xf numFmtId="0" fontId="7" fillId="12" borderId="7" xfId="0" applyFont="1" applyFill="1" applyBorder="1" applyAlignment="1">
      <alignment vertical="center" wrapText="1"/>
    </xf>
    <xf numFmtId="0" fontId="19" fillId="25" borderId="7" xfId="0" applyFont="1" applyFill="1" applyBorder="1" applyAlignment="1">
      <alignment vertical="center" wrapText="1"/>
    </xf>
    <xf numFmtId="0" fontId="7" fillId="25" borderId="7" xfId="0" applyFont="1" applyFill="1" applyBorder="1" applyAlignment="1">
      <alignment vertical="center" wrapText="1"/>
    </xf>
    <xf numFmtId="0" fontId="3" fillId="18" borderId="7" xfId="0" applyFont="1" applyFill="1" applyBorder="1" applyAlignment="1">
      <alignment vertical="center"/>
    </xf>
    <xf numFmtId="0" fontId="12" fillId="25" borderId="7" xfId="0" applyFont="1" applyFill="1" applyBorder="1" applyAlignment="1">
      <alignment vertical="center" wrapText="1"/>
    </xf>
    <xf numFmtId="0" fontId="6" fillId="25" borderId="7" xfId="0" applyFont="1" applyFill="1" applyBorder="1" applyAlignment="1">
      <alignment vertical="center"/>
    </xf>
  </cellXfs>
  <cellStyles count="1">
    <cellStyle name="Normal" xfId="0" builtinId="0"/>
  </cellStyles>
  <dxfs count="14">
    <dxf>
      <fill>
        <patternFill patternType="solid">
          <bgColor theme="6" tint="0.59999389629810485"/>
        </patternFill>
      </fill>
    </dxf>
    <dxf>
      <font>
        <color theme="1"/>
      </font>
      <fill>
        <patternFill>
          <bgColor rgb="FFFFC7CE"/>
        </patternFill>
      </fill>
    </dxf>
    <dxf>
      <fill>
        <patternFill patternType="solid">
          <bgColor theme="6" tint="0.59999389629810485"/>
        </patternFill>
      </fill>
    </dxf>
    <dxf>
      <font>
        <color theme="1"/>
      </font>
      <fill>
        <patternFill>
          <bgColor rgb="FFFFC7CE"/>
        </patternFill>
      </fill>
    </dxf>
    <dxf>
      <fill>
        <patternFill patternType="solid">
          <bgColor theme="6" tint="0.59999389629810485"/>
        </patternFill>
      </fill>
    </dxf>
    <dxf>
      <font>
        <color theme="1"/>
      </font>
      <fill>
        <patternFill>
          <bgColor rgb="FFFFC7CE"/>
        </patternFill>
      </fill>
    </dxf>
    <dxf>
      <fill>
        <patternFill patternType="solid">
          <bgColor theme="6" tint="0.59999389629810485"/>
        </patternFill>
      </fill>
    </dxf>
    <dxf>
      <font>
        <color theme="1"/>
      </font>
      <fill>
        <patternFill>
          <bgColor rgb="FFFFC7CE"/>
        </patternFill>
      </fill>
    </dxf>
    <dxf>
      <fill>
        <patternFill patternType="solid">
          <bgColor theme="6" tint="0.59999389629810485"/>
        </patternFill>
      </fill>
    </dxf>
    <dxf>
      <font>
        <color theme="1"/>
      </font>
      <fill>
        <patternFill>
          <bgColor rgb="FFFFC7CE"/>
        </patternFill>
      </fill>
    </dxf>
    <dxf>
      <fill>
        <patternFill patternType="solid">
          <bgColor theme="6" tint="0.59999389629810485"/>
        </patternFill>
      </fill>
    </dxf>
    <dxf>
      <font>
        <color theme="1"/>
      </font>
      <fill>
        <patternFill>
          <bgColor rgb="FFFFC7CE"/>
        </patternFill>
      </fill>
    </dxf>
    <dxf>
      <fill>
        <patternFill patternType="solid">
          <bgColor theme="6" tint="0.59999389629810485"/>
        </patternFill>
      </fill>
    </dxf>
    <dxf>
      <font>
        <color theme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4644-31E7-4B5B-BB9C-E400A50FAA35}">
  <dimension ref="A1:L133"/>
  <sheetViews>
    <sheetView tabSelected="1" workbookViewId="0">
      <pane ySplit="1" topLeftCell="A2" activePane="bottomLeft" state="frozen"/>
      <selection pane="bottomLeft" activeCell="C137" sqref="C137"/>
    </sheetView>
  </sheetViews>
  <sheetFormatPr defaultColWidth="8.7109375" defaultRowHeight="15" outlineLevelRow="1"/>
  <cols>
    <col min="1" max="1" width="6" style="73" customWidth="1"/>
    <col min="2" max="2" width="8.5703125" style="73" hidden="1" customWidth="1"/>
    <col min="3" max="3" width="83.140625" style="23" customWidth="1"/>
    <col min="4" max="4" width="35.7109375" style="23" customWidth="1"/>
    <col min="5" max="6" width="11.42578125" style="20" bestFit="1" customWidth="1"/>
    <col min="7" max="7" width="11.7109375" style="73" bestFit="1" customWidth="1"/>
    <col min="8" max="9" width="11.42578125" style="80" bestFit="1" customWidth="1"/>
    <col min="10" max="10" width="13.7109375" style="23" customWidth="1"/>
    <col min="11" max="11" width="73.42578125" style="99" customWidth="1"/>
    <col min="12" max="12" width="21.7109375" style="23" bestFit="1" customWidth="1"/>
    <col min="13" max="16384" width="8.7109375" style="23"/>
  </cols>
  <sheetData>
    <row r="1" spans="1:12" ht="18" customHeight="1">
      <c r="A1" s="21" t="s">
        <v>0</v>
      </c>
      <c r="B1" s="21"/>
      <c r="C1" s="21"/>
      <c r="D1" s="22"/>
      <c r="E1" s="22"/>
      <c r="F1" s="22"/>
      <c r="G1" s="64"/>
      <c r="H1" s="22"/>
      <c r="I1" s="22"/>
      <c r="J1" s="22"/>
      <c r="K1" s="100"/>
      <c r="L1" s="98"/>
    </row>
    <row r="2" spans="1:12">
      <c r="A2" s="24" t="s">
        <v>1</v>
      </c>
      <c r="B2" s="24"/>
      <c r="C2" s="24"/>
      <c r="D2" s="22"/>
      <c r="E2" s="22"/>
      <c r="F2" s="22"/>
      <c r="G2" s="64"/>
      <c r="H2" s="22"/>
      <c r="I2" s="22"/>
      <c r="J2" s="22"/>
      <c r="K2" s="100"/>
      <c r="L2" s="98"/>
    </row>
    <row r="3" spans="1:12">
      <c r="A3" s="25" t="s">
        <v>2</v>
      </c>
      <c r="B3" s="25"/>
      <c r="C3" s="25"/>
      <c r="D3" s="101">
        <v>46304</v>
      </c>
      <c r="E3" s="22"/>
      <c r="F3" s="22"/>
      <c r="G3" s="64"/>
      <c r="H3" s="22"/>
      <c r="I3" s="22"/>
      <c r="J3" s="22"/>
      <c r="K3" s="100"/>
      <c r="L3" s="98"/>
    </row>
    <row r="4" spans="1:12" ht="14.25" customHeight="1">
      <c r="A4" s="22"/>
      <c r="B4" s="22"/>
      <c r="C4" s="22"/>
      <c r="D4" s="22"/>
      <c r="E4" s="172" t="s">
        <v>3</v>
      </c>
      <c r="F4" s="172" t="s">
        <v>4</v>
      </c>
      <c r="G4" s="63"/>
      <c r="H4" s="179" t="s">
        <v>5</v>
      </c>
      <c r="I4" s="179"/>
      <c r="J4" s="25"/>
      <c r="K4" s="100"/>
      <c r="L4" s="98"/>
    </row>
    <row r="5" spans="1:12">
      <c r="A5" s="132" t="s">
        <v>6</v>
      </c>
      <c r="B5" s="132" t="s">
        <v>7</v>
      </c>
      <c r="C5" s="132" t="s">
        <v>8</v>
      </c>
      <c r="D5" s="132" t="s">
        <v>9</v>
      </c>
      <c r="E5" s="132" t="s">
        <v>10</v>
      </c>
      <c r="F5" s="132" t="s">
        <v>11</v>
      </c>
      <c r="G5" s="132" t="s">
        <v>12</v>
      </c>
      <c r="H5" s="132" t="s">
        <v>10</v>
      </c>
      <c r="I5" s="134" t="s">
        <v>11</v>
      </c>
      <c r="J5" s="132" t="s">
        <v>13</v>
      </c>
      <c r="K5" s="132" t="s">
        <v>14</v>
      </c>
      <c r="L5" s="135" t="s">
        <v>15</v>
      </c>
    </row>
    <row r="6" spans="1:12">
      <c r="A6" s="132"/>
      <c r="B6" s="132"/>
      <c r="C6" s="132" t="s">
        <v>16</v>
      </c>
      <c r="D6" s="132" t="s">
        <v>17</v>
      </c>
      <c r="E6" s="177">
        <f>MIN(E7:E132)</f>
        <v>46266</v>
      </c>
      <c r="F6" s="177">
        <f>MAX(F7:F132)</f>
        <v>46477</v>
      </c>
      <c r="G6" s="133">
        <f>IF(OR(E6="",F6=""),"",NETWORKDAYS(E6,F6,Feriados!$A$2:$A$9))</f>
        <v>145</v>
      </c>
      <c r="H6" s="178"/>
      <c r="I6" s="178"/>
      <c r="J6" s="132"/>
      <c r="K6" s="132"/>
      <c r="L6" s="135"/>
    </row>
    <row r="7" spans="1:12">
      <c r="A7" s="136">
        <v>1</v>
      </c>
      <c r="B7" s="137"/>
      <c r="C7" s="137" t="s">
        <v>18</v>
      </c>
      <c r="D7" s="137" t="s">
        <v>4</v>
      </c>
      <c r="E7" s="79">
        <f>MIN(E8:E19)</f>
        <v>46288</v>
      </c>
      <c r="F7" s="79">
        <f>MAX(F8:F19)</f>
        <v>46346</v>
      </c>
      <c r="G7" s="72">
        <f>IF(OR(E7="",F7=""),"",NETWORKDAYS(E7,F7,Feriados!$A$2:$A$9))</f>
        <v>40</v>
      </c>
      <c r="H7" s="79">
        <v>46288</v>
      </c>
      <c r="I7" s="79">
        <v>46297</v>
      </c>
      <c r="J7" s="137" t="s">
        <v>4</v>
      </c>
      <c r="K7" s="138" t="s">
        <v>4</v>
      </c>
      <c r="L7" s="139" t="s">
        <v>4</v>
      </c>
    </row>
    <row r="8" spans="1:12" s="31" customFormat="1" outlineLevel="1">
      <c r="A8" s="113" t="s">
        <v>19</v>
      </c>
      <c r="B8" s="111" t="s">
        <v>20</v>
      </c>
      <c r="C8" s="112" t="s">
        <v>21</v>
      </c>
      <c r="D8" s="111" t="s">
        <v>22</v>
      </c>
      <c r="E8" s="110">
        <v>46296</v>
      </c>
      <c r="F8" s="110">
        <v>46310</v>
      </c>
      <c r="G8" s="140">
        <f>IF(OR(E8="",F8=""),"",NETWORKDAYS(E8,F8,Feriados!$A$2:$A$9))</f>
        <v>10</v>
      </c>
      <c r="H8" s="111" t="s">
        <v>4</v>
      </c>
      <c r="I8" s="111" t="s">
        <v>4</v>
      </c>
      <c r="J8" s="111" t="s">
        <v>23</v>
      </c>
      <c r="K8" s="112" t="s">
        <v>4</v>
      </c>
      <c r="L8" s="141" t="s">
        <v>24</v>
      </c>
    </row>
    <row r="9" spans="1:12" outlineLevel="1">
      <c r="A9" s="114" t="s">
        <v>25</v>
      </c>
      <c r="B9" s="115" t="s">
        <v>26</v>
      </c>
      <c r="C9" s="116" t="s">
        <v>27</v>
      </c>
      <c r="D9" s="115" t="s">
        <v>28</v>
      </c>
      <c r="E9" s="117">
        <v>46290</v>
      </c>
      <c r="F9" s="118">
        <v>46290</v>
      </c>
      <c r="G9" s="159">
        <f>IF(OR(E9="",F9=""),"",NETWORKDAYS(E9,F9,Feriados!$A$2:$A$9))</f>
        <v>1</v>
      </c>
      <c r="H9" s="117">
        <v>46290</v>
      </c>
      <c r="I9" s="117">
        <v>46290</v>
      </c>
      <c r="J9" s="115" t="s">
        <v>29</v>
      </c>
      <c r="K9" s="142" t="s">
        <v>4</v>
      </c>
      <c r="L9" s="119" t="s">
        <v>24</v>
      </c>
    </row>
    <row r="10" spans="1:12" outlineLevel="1">
      <c r="A10" s="140" t="s">
        <v>30</v>
      </c>
      <c r="B10" s="143" t="s">
        <v>20</v>
      </c>
      <c r="C10" s="142" t="s">
        <v>31</v>
      </c>
      <c r="D10" s="143" t="s">
        <v>28</v>
      </c>
      <c r="E10" s="144">
        <v>46300</v>
      </c>
      <c r="F10" s="144">
        <v>46305</v>
      </c>
      <c r="G10" s="140">
        <f>IF(OR(E10="",F10=""),"",NETWORKDAYS(E10,F10,Feriados!$A$2:$A$9))</f>
        <v>5</v>
      </c>
      <c r="H10" s="143" t="s">
        <v>4</v>
      </c>
      <c r="I10" s="143" t="s">
        <v>4</v>
      </c>
      <c r="J10" s="143" t="s">
        <v>23</v>
      </c>
      <c r="K10" s="142" t="s">
        <v>4</v>
      </c>
      <c r="L10" s="119" t="s">
        <v>24</v>
      </c>
    </row>
    <row r="11" spans="1:12" s="31" customFormat="1" ht="36" outlineLevel="1">
      <c r="A11" s="113" t="s">
        <v>32</v>
      </c>
      <c r="B11" s="111" t="s">
        <v>26</v>
      </c>
      <c r="C11" s="112" t="s">
        <v>33</v>
      </c>
      <c r="D11" s="111" t="s">
        <v>28</v>
      </c>
      <c r="E11" s="110">
        <v>46296</v>
      </c>
      <c r="F11" s="110">
        <v>46346</v>
      </c>
      <c r="G11" s="140">
        <f>IF(OR(E11="",F11=""),"",NETWORKDAYS(E11,F11,Feriados!$A$2:$A$9))</f>
        <v>34</v>
      </c>
      <c r="H11" s="111" t="s">
        <v>4</v>
      </c>
      <c r="I11" s="111" t="s">
        <v>4</v>
      </c>
      <c r="J11" s="111" t="s">
        <v>23</v>
      </c>
      <c r="K11" s="112" t="s">
        <v>34</v>
      </c>
      <c r="L11" s="141" t="s">
        <v>24</v>
      </c>
    </row>
    <row r="12" spans="1:12" outlineLevel="1">
      <c r="A12" s="114" t="s">
        <v>35</v>
      </c>
      <c r="B12" s="115" t="s">
        <v>26</v>
      </c>
      <c r="C12" s="116" t="s">
        <v>36</v>
      </c>
      <c r="D12" s="115" t="s">
        <v>28</v>
      </c>
      <c r="E12" s="117">
        <v>46288</v>
      </c>
      <c r="F12" s="118">
        <v>46288</v>
      </c>
      <c r="G12" s="159">
        <f>IF(OR(E12="",F12=""),"",NETWORKDAYS(E12,F12,Feriados!$A$2:$A$9))</f>
        <v>1</v>
      </c>
      <c r="H12" s="117">
        <v>46288</v>
      </c>
      <c r="I12" s="145">
        <v>46288</v>
      </c>
      <c r="J12" s="115" t="s">
        <v>29</v>
      </c>
      <c r="K12" s="142" t="s">
        <v>4</v>
      </c>
      <c r="L12" s="141" t="s">
        <v>24</v>
      </c>
    </row>
    <row r="13" spans="1:12" outlineLevel="1">
      <c r="A13" s="114" t="s">
        <v>37</v>
      </c>
      <c r="B13" s="115" t="s">
        <v>26</v>
      </c>
      <c r="C13" s="116" t="s">
        <v>38</v>
      </c>
      <c r="D13" s="115" t="s">
        <v>28</v>
      </c>
      <c r="E13" s="117">
        <v>46289</v>
      </c>
      <c r="F13" s="118">
        <v>46289</v>
      </c>
      <c r="G13" s="159">
        <f>IF(OR(E13="",F13=""),"",NETWORKDAYS(E13,F13,Feriados!$A$2:$A$9))</f>
        <v>1</v>
      </c>
      <c r="H13" s="145">
        <v>46289</v>
      </c>
      <c r="I13" s="145">
        <v>46289</v>
      </c>
      <c r="J13" s="115" t="s">
        <v>29</v>
      </c>
      <c r="K13" s="142" t="s">
        <v>4</v>
      </c>
      <c r="L13" s="141" t="s">
        <v>24</v>
      </c>
    </row>
    <row r="14" spans="1:12" outlineLevel="1">
      <c r="A14" s="114" t="s">
        <v>39</v>
      </c>
      <c r="B14" s="115" t="s">
        <v>26</v>
      </c>
      <c r="C14" s="116" t="s">
        <v>40</v>
      </c>
      <c r="D14" s="115" t="s">
        <v>28</v>
      </c>
      <c r="E14" s="117">
        <v>46289</v>
      </c>
      <c r="F14" s="118">
        <v>46289</v>
      </c>
      <c r="G14" s="159">
        <f>IF(OR(E14="",F14=""),"",NETWORKDAYS(E14,F14,Feriados!$A$2:$A$9))</f>
        <v>1</v>
      </c>
      <c r="H14" s="145">
        <v>46289</v>
      </c>
      <c r="I14" s="145">
        <v>46289</v>
      </c>
      <c r="J14" s="115" t="s">
        <v>29</v>
      </c>
      <c r="K14" s="142" t="s">
        <v>4</v>
      </c>
      <c r="L14" s="141" t="s">
        <v>24</v>
      </c>
    </row>
    <row r="15" spans="1:12" outlineLevel="1">
      <c r="A15" s="106" t="s">
        <v>41</v>
      </c>
      <c r="B15" s="146" t="s">
        <v>26</v>
      </c>
      <c r="C15" s="182" t="s">
        <v>42</v>
      </c>
      <c r="D15" s="146" t="s">
        <v>28</v>
      </c>
      <c r="E15" s="147">
        <v>46304</v>
      </c>
      <c r="F15" s="147">
        <v>46304</v>
      </c>
      <c r="G15" s="140">
        <f>IF(OR(E15="",F15=""),"",NETWORKDAYS(E15,F15,Feriados!$A$2:$A$9))</f>
        <v>1</v>
      </c>
      <c r="H15" s="143" t="s">
        <v>4</v>
      </c>
      <c r="I15" s="143" t="s">
        <v>4</v>
      </c>
      <c r="J15" s="143" t="s">
        <v>23</v>
      </c>
      <c r="K15" s="142" t="s">
        <v>4</v>
      </c>
      <c r="L15" s="141" t="s">
        <v>24</v>
      </c>
    </row>
    <row r="16" spans="1:12" outlineLevel="1">
      <c r="A16" s="114" t="s">
        <v>43</v>
      </c>
      <c r="B16" s="115" t="s">
        <v>26</v>
      </c>
      <c r="C16" s="116" t="s">
        <v>44</v>
      </c>
      <c r="D16" s="115" t="s">
        <v>28</v>
      </c>
      <c r="E16" s="117">
        <v>46293</v>
      </c>
      <c r="F16" s="118">
        <v>46293</v>
      </c>
      <c r="G16" s="159">
        <f>IF(OR(E16="",F16=""),"",NETWORKDAYS(E16,F16,Feriados!$A$2:$A$9))</f>
        <v>1</v>
      </c>
      <c r="H16" s="145">
        <v>46293</v>
      </c>
      <c r="I16" s="145">
        <v>46293</v>
      </c>
      <c r="J16" s="115" t="s">
        <v>29</v>
      </c>
      <c r="K16" s="142" t="s">
        <v>4</v>
      </c>
      <c r="L16" s="141" t="s">
        <v>24</v>
      </c>
    </row>
    <row r="17" spans="1:12" outlineLevel="1">
      <c r="A17" s="114" t="s">
        <v>45</v>
      </c>
      <c r="B17" s="115" t="s">
        <v>26</v>
      </c>
      <c r="C17" s="116" t="s">
        <v>46</v>
      </c>
      <c r="D17" s="115" t="s">
        <v>28</v>
      </c>
      <c r="E17" s="117">
        <v>46293</v>
      </c>
      <c r="F17" s="118">
        <v>46293</v>
      </c>
      <c r="G17" s="159">
        <f>IF(OR(E17="",F17=""),"",NETWORKDAYS(E17,F17,Feriados!$A$2:$A$9))</f>
        <v>1</v>
      </c>
      <c r="H17" s="145">
        <v>46293</v>
      </c>
      <c r="I17" s="145">
        <v>46293</v>
      </c>
      <c r="J17" s="115" t="s">
        <v>29</v>
      </c>
      <c r="K17" s="142" t="s">
        <v>4</v>
      </c>
      <c r="L17" s="141" t="s">
        <v>24</v>
      </c>
    </row>
    <row r="18" spans="1:12" outlineLevel="1">
      <c r="A18" s="114" t="s">
        <v>47</v>
      </c>
      <c r="B18" s="115" t="s">
        <v>26</v>
      </c>
      <c r="C18" s="116" t="s">
        <v>48</v>
      </c>
      <c r="D18" s="115" t="s">
        <v>28</v>
      </c>
      <c r="E18" s="117">
        <v>46295</v>
      </c>
      <c r="F18" s="118">
        <v>46295</v>
      </c>
      <c r="G18" s="159">
        <f>IF(OR(E18="",F18=""),"",NETWORKDAYS(E18,F18,Feriados!$A$2:$A$9))</f>
        <v>1</v>
      </c>
      <c r="H18" s="117">
        <v>46297</v>
      </c>
      <c r="I18" s="117">
        <v>46297</v>
      </c>
      <c r="J18" s="115" t="s">
        <v>29</v>
      </c>
      <c r="K18" s="142" t="s">
        <v>4</v>
      </c>
      <c r="L18" s="141" t="s">
        <v>24</v>
      </c>
    </row>
    <row r="19" spans="1:12" outlineLevel="1">
      <c r="A19" s="106" t="s">
        <v>49</v>
      </c>
      <c r="B19" s="148" t="s">
        <v>26</v>
      </c>
      <c r="C19" s="149" t="s">
        <v>50</v>
      </c>
      <c r="D19" s="148" t="s">
        <v>51</v>
      </c>
      <c r="E19" s="110">
        <v>46311</v>
      </c>
      <c r="F19" s="110">
        <v>46311</v>
      </c>
      <c r="G19" s="140">
        <f>IF(OR(E19="",F19=""),"",NETWORKDAYS(E19,F19,Feriados!$A$2:$A$9))</f>
        <v>1</v>
      </c>
      <c r="H19" s="143" t="s">
        <v>4</v>
      </c>
      <c r="I19" s="143" t="s">
        <v>4</v>
      </c>
      <c r="J19" s="143" t="s">
        <v>23</v>
      </c>
      <c r="K19" s="142" t="s">
        <v>4</v>
      </c>
      <c r="L19" s="119" t="s">
        <v>24</v>
      </c>
    </row>
    <row r="20" spans="1:12">
      <c r="A20" s="136">
        <v>2</v>
      </c>
      <c r="B20" s="137" t="s">
        <v>4</v>
      </c>
      <c r="C20" s="137" t="s">
        <v>52</v>
      </c>
      <c r="D20" s="137" t="s">
        <v>4</v>
      </c>
      <c r="E20" s="79">
        <f>MIN(E21:E62)</f>
        <v>46286</v>
      </c>
      <c r="F20" s="79">
        <f>MAX(F21:F62)</f>
        <v>46386</v>
      </c>
      <c r="G20" s="72">
        <f>IF(OR(E20="",F20=""),"",NETWORKDAYS(E20,F20,Feriados!$A$2:$A$9))</f>
        <v>69</v>
      </c>
      <c r="H20" s="79">
        <v>46286</v>
      </c>
      <c r="I20" s="79">
        <v>46301</v>
      </c>
      <c r="J20" s="137" t="s">
        <v>4</v>
      </c>
      <c r="K20" s="138" t="s">
        <v>4</v>
      </c>
      <c r="L20" s="139" t="s">
        <v>4</v>
      </c>
    </row>
    <row r="21" spans="1:12" outlineLevel="1">
      <c r="A21" s="114" t="s">
        <v>53</v>
      </c>
      <c r="B21" s="115" t="s">
        <v>26</v>
      </c>
      <c r="C21" s="116" t="s">
        <v>54</v>
      </c>
      <c r="D21" s="115" t="s">
        <v>55</v>
      </c>
      <c r="E21" s="117">
        <v>46286</v>
      </c>
      <c r="F21" s="118">
        <v>46290</v>
      </c>
      <c r="G21" s="159">
        <f>IF(OR(E21="",F21=""),"",NETWORKDAYS(E21,F21,Feriados!$A$2:$A$9))</f>
        <v>5</v>
      </c>
      <c r="H21" s="117">
        <v>46286</v>
      </c>
      <c r="I21" s="117">
        <v>46290</v>
      </c>
      <c r="J21" s="115" t="s">
        <v>29</v>
      </c>
      <c r="K21" s="112" t="s">
        <v>4</v>
      </c>
      <c r="L21" s="119" t="s">
        <v>56</v>
      </c>
    </row>
    <row r="22" spans="1:12" outlineLevel="1">
      <c r="A22" s="131" t="s">
        <v>57</v>
      </c>
      <c r="B22" s="115" t="s">
        <v>26</v>
      </c>
      <c r="C22" s="116" t="s">
        <v>58</v>
      </c>
      <c r="D22" s="115" t="s">
        <v>55</v>
      </c>
      <c r="E22" s="117">
        <v>46291</v>
      </c>
      <c r="F22" s="118">
        <v>46291</v>
      </c>
      <c r="G22" s="159">
        <f>IF(OR(E22="",F22=""),"",NETWORKDAYS(E22,F22,Feriados!$A$2:$A$9))</f>
        <v>0</v>
      </c>
      <c r="H22" s="117">
        <v>46291</v>
      </c>
      <c r="I22" s="117">
        <v>46291</v>
      </c>
      <c r="J22" s="115" t="s">
        <v>29</v>
      </c>
      <c r="K22" s="112" t="s">
        <v>4</v>
      </c>
      <c r="L22" s="119" t="s">
        <v>56</v>
      </c>
    </row>
    <row r="23" spans="1:12" s="125" customFormat="1" ht="12.75" outlineLevel="1">
      <c r="A23" s="131" t="s">
        <v>59</v>
      </c>
      <c r="B23" s="126" t="s">
        <v>26</v>
      </c>
      <c r="C23" s="127" t="s">
        <v>60</v>
      </c>
      <c r="D23" s="127" t="s">
        <v>55</v>
      </c>
      <c r="E23" s="128">
        <v>46286</v>
      </c>
      <c r="F23" s="128">
        <v>46290</v>
      </c>
      <c r="G23" s="176">
        <f>IF(OR(E23="",F23=""),"",NETWORKDAYS(E23,F23,Feriados!$A$2:$A$9))</f>
        <v>5</v>
      </c>
      <c r="H23" s="129">
        <v>46286</v>
      </c>
      <c r="I23" s="129">
        <v>46290</v>
      </c>
      <c r="J23" s="127" t="s">
        <v>29</v>
      </c>
      <c r="K23" s="124" t="s">
        <v>4</v>
      </c>
      <c r="L23" s="121" t="s">
        <v>56</v>
      </c>
    </row>
    <row r="24" spans="1:12" outlineLevel="1">
      <c r="A24" s="131" t="s">
        <v>61</v>
      </c>
      <c r="B24" s="115" t="s">
        <v>26</v>
      </c>
      <c r="C24" s="116" t="s">
        <v>62</v>
      </c>
      <c r="D24" s="115" t="s">
        <v>63</v>
      </c>
      <c r="E24" s="117">
        <v>46291</v>
      </c>
      <c r="F24" s="118">
        <v>46291</v>
      </c>
      <c r="G24" s="159">
        <f>IF(OR(E24="",F24=""),"",NETWORKDAYS(E24,F24,Feriados!$A$2:$A$9))</f>
        <v>0</v>
      </c>
      <c r="H24" s="117">
        <v>46291</v>
      </c>
      <c r="I24" s="117">
        <v>46291</v>
      </c>
      <c r="J24" s="115" t="s">
        <v>29</v>
      </c>
      <c r="K24" s="112" t="s">
        <v>4</v>
      </c>
      <c r="L24" s="119" t="s">
        <v>56</v>
      </c>
    </row>
    <row r="25" spans="1:12" outlineLevel="1">
      <c r="A25" s="131" t="s">
        <v>64</v>
      </c>
      <c r="B25" s="115" t="s">
        <v>26</v>
      </c>
      <c r="C25" s="116" t="s">
        <v>65</v>
      </c>
      <c r="D25" s="115" t="s">
        <v>55</v>
      </c>
      <c r="E25" s="117">
        <v>46286</v>
      </c>
      <c r="F25" s="118">
        <v>46293</v>
      </c>
      <c r="G25" s="159">
        <f>IF(OR(E25="",F25=""),"",NETWORKDAYS(E25,F25,Feriados!$A$2:$A$9))</f>
        <v>6</v>
      </c>
      <c r="H25" s="117">
        <v>46286</v>
      </c>
      <c r="I25" s="117">
        <v>46293</v>
      </c>
      <c r="J25" s="115" t="s">
        <v>29</v>
      </c>
      <c r="K25" s="112" t="s">
        <v>4</v>
      </c>
      <c r="L25" s="119" t="s">
        <v>56</v>
      </c>
    </row>
    <row r="26" spans="1:12" outlineLevel="1">
      <c r="A26" s="131" t="s">
        <v>66</v>
      </c>
      <c r="B26" s="115" t="s">
        <v>26</v>
      </c>
      <c r="C26" s="150" t="s">
        <v>67</v>
      </c>
      <c r="D26" s="115" t="s">
        <v>55</v>
      </c>
      <c r="E26" s="117">
        <v>46288</v>
      </c>
      <c r="F26" s="118">
        <v>46294</v>
      </c>
      <c r="G26" s="159">
        <f>IF(OR(E26="",F26=""),"",NETWORKDAYS(E26,F26,Feriados!$A$2:$A$9))</f>
        <v>5</v>
      </c>
      <c r="H26" s="145">
        <v>46294</v>
      </c>
      <c r="I26" s="145">
        <v>46294</v>
      </c>
      <c r="J26" s="115" t="s">
        <v>29</v>
      </c>
      <c r="K26" s="112" t="s">
        <v>4</v>
      </c>
      <c r="L26" s="119" t="s">
        <v>56</v>
      </c>
    </row>
    <row r="27" spans="1:12" outlineLevel="1">
      <c r="A27" s="131" t="s">
        <v>68</v>
      </c>
      <c r="B27" s="115" t="s">
        <v>26</v>
      </c>
      <c r="C27" s="116" t="s">
        <v>69</v>
      </c>
      <c r="D27" s="115" t="s">
        <v>70</v>
      </c>
      <c r="E27" s="117">
        <v>46293</v>
      </c>
      <c r="F27" s="118">
        <v>46294</v>
      </c>
      <c r="G27" s="159">
        <f>IF(OR(E27="",F27=""),"",NETWORKDAYS(E27,F27,Feriados!$A$2:$A$9))</f>
        <v>2</v>
      </c>
      <c r="H27" s="117">
        <v>46293</v>
      </c>
      <c r="I27" s="117">
        <v>46294</v>
      </c>
      <c r="J27" s="115" t="s">
        <v>29</v>
      </c>
      <c r="K27" s="112" t="s">
        <v>4</v>
      </c>
      <c r="L27" s="119" t="s">
        <v>56</v>
      </c>
    </row>
    <row r="28" spans="1:12" outlineLevel="1">
      <c r="A28" s="131" t="s">
        <v>71</v>
      </c>
      <c r="B28" s="115" t="s">
        <v>26</v>
      </c>
      <c r="C28" s="116" t="s">
        <v>72</v>
      </c>
      <c r="D28" s="115" t="s">
        <v>55</v>
      </c>
      <c r="E28" s="117">
        <v>46293</v>
      </c>
      <c r="F28" s="118">
        <v>46295</v>
      </c>
      <c r="G28" s="159">
        <f>IF(OR(E28="",F28=""),"",NETWORKDAYS(E28,F28,Feriados!$A$2:$A$9))</f>
        <v>3</v>
      </c>
      <c r="H28" s="117">
        <v>46293</v>
      </c>
      <c r="I28" s="117">
        <v>46295</v>
      </c>
      <c r="J28" s="115" t="s">
        <v>29</v>
      </c>
      <c r="K28" s="112" t="s">
        <v>4</v>
      </c>
      <c r="L28" s="119" t="s">
        <v>56</v>
      </c>
    </row>
    <row r="29" spans="1:12" ht="24" outlineLevel="1">
      <c r="A29" s="131" t="s">
        <v>73</v>
      </c>
      <c r="B29" s="115" t="s">
        <v>26</v>
      </c>
      <c r="C29" s="116" t="s">
        <v>74</v>
      </c>
      <c r="D29" s="115" t="s">
        <v>55</v>
      </c>
      <c r="E29" s="117">
        <v>46293</v>
      </c>
      <c r="F29" s="118">
        <v>46296</v>
      </c>
      <c r="G29" s="159">
        <f>IF(OR(E29="",F29=""),"",NETWORKDAYS(E29,F29,Feriados!$A$2:$A$9))</f>
        <v>4</v>
      </c>
      <c r="H29" s="145">
        <v>46296</v>
      </c>
      <c r="I29" s="145">
        <v>46296</v>
      </c>
      <c r="J29" s="115" t="s">
        <v>29</v>
      </c>
      <c r="K29" s="112" t="s">
        <v>4</v>
      </c>
      <c r="L29" s="119" t="s">
        <v>56</v>
      </c>
    </row>
    <row r="30" spans="1:12" ht="24" outlineLevel="1">
      <c r="A30" s="131" t="s">
        <v>75</v>
      </c>
      <c r="B30" s="115" t="s">
        <v>26</v>
      </c>
      <c r="C30" s="116" t="s">
        <v>76</v>
      </c>
      <c r="D30" s="115" t="s">
        <v>55</v>
      </c>
      <c r="E30" s="118">
        <v>46296</v>
      </c>
      <c r="F30" s="118">
        <v>46296</v>
      </c>
      <c r="G30" s="159">
        <f>IF(OR(E30="",F30=""),"",NETWORKDAYS(E30,F30,Feriados!$A$2:$A$9))</f>
        <v>1</v>
      </c>
      <c r="H30" s="145">
        <v>46296</v>
      </c>
      <c r="I30" s="145">
        <v>46296</v>
      </c>
      <c r="J30" s="115" t="s">
        <v>29</v>
      </c>
      <c r="K30" s="112" t="s">
        <v>4</v>
      </c>
      <c r="L30" s="119" t="s">
        <v>56</v>
      </c>
    </row>
    <row r="31" spans="1:12" outlineLevel="1">
      <c r="A31" s="131" t="s">
        <v>77</v>
      </c>
      <c r="B31" s="115" t="s">
        <v>26</v>
      </c>
      <c r="C31" s="116" t="s">
        <v>78</v>
      </c>
      <c r="D31" s="115" t="s">
        <v>79</v>
      </c>
      <c r="E31" s="117">
        <v>46307</v>
      </c>
      <c r="F31" s="117">
        <v>46311</v>
      </c>
      <c r="G31" s="159">
        <f>IF(OR(E31="",F31=""),"",NETWORKDAYS(E31,F31,Feriados!$A$2:$A$9))</f>
        <v>4</v>
      </c>
      <c r="H31" s="145">
        <v>46296</v>
      </c>
      <c r="I31" s="145">
        <v>46296</v>
      </c>
      <c r="J31" s="115" t="s">
        <v>29</v>
      </c>
      <c r="K31" s="112" t="s">
        <v>4</v>
      </c>
      <c r="L31" s="119" t="s">
        <v>80</v>
      </c>
    </row>
    <row r="32" spans="1:12" outlineLevel="1">
      <c r="A32" s="131" t="s">
        <v>81</v>
      </c>
      <c r="B32" s="115" t="s">
        <v>26</v>
      </c>
      <c r="C32" s="116" t="s">
        <v>82</v>
      </c>
      <c r="D32" s="115" t="s">
        <v>55</v>
      </c>
      <c r="E32" s="117">
        <v>46295</v>
      </c>
      <c r="F32" s="145">
        <v>46300</v>
      </c>
      <c r="G32" s="159">
        <f>IF(OR(E32="",F32=""),"",NETWORKDAYS(E32,F32,Feriados!$A$2:$A$9))</f>
        <v>4</v>
      </c>
      <c r="H32" s="117">
        <v>46301</v>
      </c>
      <c r="I32" s="117">
        <v>46301</v>
      </c>
      <c r="J32" s="115" t="s">
        <v>29</v>
      </c>
      <c r="K32" s="112" t="s">
        <v>4</v>
      </c>
      <c r="L32" s="119" t="s">
        <v>56</v>
      </c>
    </row>
    <row r="33" spans="1:12" ht="24" outlineLevel="1">
      <c r="A33" s="183" t="s">
        <v>83</v>
      </c>
      <c r="B33" s="184" t="s">
        <v>20</v>
      </c>
      <c r="C33" s="185" t="s">
        <v>84</v>
      </c>
      <c r="D33" s="184" t="s">
        <v>55</v>
      </c>
      <c r="E33" s="110"/>
      <c r="F33" s="110"/>
      <c r="G33" s="106" t="str">
        <f>IF(OR(E33="",F33=""),"",NETWORKDAYS(E33,F33,Feriados!$A$2:$A$9))</f>
        <v/>
      </c>
      <c r="H33" s="111" t="s">
        <v>4</v>
      </c>
      <c r="I33" s="111" t="s">
        <v>4</v>
      </c>
      <c r="J33" s="111" t="s">
        <v>23</v>
      </c>
      <c r="K33" s="112" t="s">
        <v>85</v>
      </c>
      <c r="L33" s="119" t="s">
        <v>56</v>
      </c>
    </row>
    <row r="34" spans="1:12" s="31" customFormat="1" ht="24" outlineLevel="1">
      <c r="A34" s="107" t="s">
        <v>86</v>
      </c>
      <c r="B34" s="108" t="s">
        <v>26</v>
      </c>
      <c r="C34" s="186" t="s">
        <v>87</v>
      </c>
      <c r="D34" s="108" t="s">
        <v>55</v>
      </c>
      <c r="E34" s="110">
        <v>46308</v>
      </c>
      <c r="F34" s="110">
        <v>46318</v>
      </c>
      <c r="G34" s="106">
        <f>IF(OR(E34="",F34=""),"",NETWORKDAYS(E34,F34,Feriados!$A$2:$A$9))</f>
        <v>9</v>
      </c>
      <c r="H34" s="111" t="s">
        <v>4</v>
      </c>
      <c r="I34" s="111" t="s">
        <v>4</v>
      </c>
      <c r="J34" s="111" t="s">
        <v>23</v>
      </c>
      <c r="K34" s="112" t="s">
        <v>4</v>
      </c>
      <c r="L34" s="141" t="s">
        <v>56</v>
      </c>
    </row>
    <row r="35" spans="1:12" s="31" customFormat="1" ht="24" outlineLevel="1">
      <c r="A35" s="107" t="s">
        <v>88</v>
      </c>
      <c r="B35" s="108" t="s">
        <v>26</v>
      </c>
      <c r="C35" s="186" t="s">
        <v>89</v>
      </c>
      <c r="D35" s="152" t="s">
        <v>55</v>
      </c>
      <c r="E35" s="110">
        <v>46321</v>
      </c>
      <c r="F35" s="110">
        <v>46332</v>
      </c>
      <c r="G35" s="106">
        <f>IF(OR(E35="",F35=""),"",NETWORKDAYS(E35,F35,Feriados!$A$2:$A$9))</f>
        <v>9</v>
      </c>
      <c r="H35" s="111" t="s">
        <v>4</v>
      </c>
      <c r="I35" s="111" t="s">
        <v>4</v>
      </c>
      <c r="J35" s="111" t="s">
        <v>23</v>
      </c>
      <c r="K35" s="112" t="s">
        <v>4</v>
      </c>
      <c r="L35" s="141" t="s">
        <v>56</v>
      </c>
    </row>
    <row r="36" spans="1:12" outlineLevel="1">
      <c r="A36" s="113" t="s">
        <v>90</v>
      </c>
      <c r="B36" s="111" t="s">
        <v>26</v>
      </c>
      <c r="C36" s="112" t="s">
        <v>91</v>
      </c>
      <c r="D36" s="111" t="s">
        <v>92</v>
      </c>
      <c r="E36" s="110">
        <v>46300</v>
      </c>
      <c r="F36" s="110">
        <v>46308</v>
      </c>
      <c r="G36" s="106">
        <f>IF(OR(E36="",F36=""),"",NETWORKDAYS(E36,F36,Feriados!$A$2:$A$9))</f>
        <v>6</v>
      </c>
      <c r="H36" s="110">
        <v>46302</v>
      </c>
      <c r="I36" s="111" t="s">
        <v>4</v>
      </c>
      <c r="J36" s="111" t="s">
        <v>93</v>
      </c>
      <c r="K36" s="112" t="s">
        <v>4</v>
      </c>
      <c r="L36" s="119" t="s">
        <v>80</v>
      </c>
    </row>
    <row r="37" spans="1:12" outlineLevel="1">
      <c r="A37" s="113" t="s">
        <v>94</v>
      </c>
      <c r="B37" s="111" t="s">
        <v>26</v>
      </c>
      <c r="C37" s="112" t="s">
        <v>95</v>
      </c>
      <c r="D37" s="111" t="s">
        <v>96</v>
      </c>
      <c r="E37" s="110">
        <v>46309</v>
      </c>
      <c r="F37" s="110">
        <v>46311</v>
      </c>
      <c r="G37" s="106">
        <f>IF(OR(E37="",F37=""),"",NETWORKDAYS(E37,F37,Feriados!$A$2:$A$9))</f>
        <v>3</v>
      </c>
      <c r="H37" s="111" t="s">
        <v>4</v>
      </c>
      <c r="I37" s="111" t="s">
        <v>4</v>
      </c>
      <c r="J37" s="111" t="s">
        <v>23</v>
      </c>
      <c r="K37" s="112" t="s">
        <v>4</v>
      </c>
      <c r="L37" s="119" t="s">
        <v>80</v>
      </c>
    </row>
    <row r="38" spans="1:12" outlineLevel="1">
      <c r="A38" s="113"/>
      <c r="B38" s="111"/>
      <c r="C38" s="112" t="s">
        <v>97</v>
      </c>
      <c r="D38" s="111" t="s">
        <v>96</v>
      </c>
      <c r="E38" s="110">
        <v>46321</v>
      </c>
      <c r="F38" s="110">
        <v>46325</v>
      </c>
      <c r="G38" s="106">
        <f>IF(OR(E38="",F38=""),"",NETWORKDAYS(E38,F38,Feriados!$A$2:$A$9))</f>
        <v>5</v>
      </c>
      <c r="H38" s="111"/>
      <c r="I38" s="111"/>
      <c r="J38" s="111"/>
      <c r="K38" s="112"/>
      <c r="L38" s="119"/>
    </row>
    <row r="39" spans="1:12" outlineLevel="1">
      <c r="A39" s="113"/>
      <c r="B39" s="111"/>
      <c r="C39" s="112" t="s">
        <v>98</v>
      </c>
      <c r="D39" s="111" t="s">
        <v>99</v>
      </c>
      <c r="E39" s="110">
        <v>46384</v>
      </c>
      <c r="F39" s="110">
        <v>46384</v>
      </c>
      <c r="G39" s="106">
        <f>IF(OR(E39="",F39=""),"",NETWORKDAYS(E39,F39,Feriados!$A$2:$A$9))</f>
        <v>1</v>
      </c>
      <c r="H39" s="111"/>
      <c r="I39" s="111"/>
      <c r="J39" s="111"/>
      <c r="K39" s="112"/>
      <c r="L39" s="119"/>
    </row>
    <row r="40" spans="1:12" ht="24" outlineLevel="1">
      <c r="A40" s="107" t="s">
        <v>100</v>
      </c>
      <c r="B40" s="108" t="s">
        <v>26</v>
      </c>
      <c r="C40" s="153" t="s">
        <v>101</v>
      </c>
      <c r="D40" s="188" t="s">
        <v>102</v>
      </c>
      <c r="E40" s="110">
        <v>46308</v>
      </c>
      <c r="F40" s="110">
        <v>46310</v>
      </c>
      <c r="G40" s="106">
        <f>IF(OR(E40="",F40=""),"",NETWORKDAYS(E40,F40,Feriados!$A$2:$A$9))</f>
        <v>3</v>
      </c>
      <c r="H40" s="111" t="s">
        <v>4</v>
      </c>
      <c r="I40" s="111" t="s">
        <v>4</v>
      </c>
      <c r="J40" s="111" t="s">
        <v>23</v>
      </c>
      <c r="K40" s="112" t="s">
        <v>4</v>
      </c>
      <c r="L40" s="119" t="s">
        <v>56</v>
      </c>
    </row>
    <row r="41" spans="1:12" s="31" customFormat="1" ht="24" outlineLevel="1">
      <c r="A41" s="107" t="s">
        <v>103</v>
      </c>
      <c r="B41" s="108" t="s">
        <v>26</v>
      </c>
      <c r="C41" s="187" t="s">
        <v>104</v>
      </c>
      <c r="D41" s="108" t="s">
        <v>55</v>
      </c>
      <c r="E41" s="110">
        <v>46329</v>
      </c>
      <c r="F41" s="110">
        <v>46345</v>
      </c>
      <c r="G41" s="106">
        <f>IF(OR(E41="",F41=""),"",NETWORKDAYS(E41,F41,Feriados!$A$2:$A$9))</f>
        <v>13</v>
      </c>
      <c r="H41" s="111" t="s">
        <v>4</v>
      </c>
      <c r="I41" s="111" t="s">
        <v>4</v>
      </c>
      <c r="J41" s="111" t="s">
        <v>23</v>
      </c>
      <c r="K41" s="112" t="s">
        <v>105</v>
      </c>
      <c r="L41" s="141" t="s">
        <v>56</v>
      </c>
    </row>
    <row r="42" spans="1:12" outlineLevel="1">
      <c r="A42" s="113" t="s">
        <v>106</v>
      </c>
      <c r="B42" s="111" t="s">
        <v>26</v>
      </c>
      <c r="C42" s="187" t="s">
        <v>107</v>
      </c>
      <c r="D42" s="111" t="s">
        <v>55</v>
      </c>
      <c r="E42" s="110">
        <v>46293</v>
      </c>
      <c r="F42" s="110">
        <v>46304</v>
      </c>
      <c r="G42" s="106">
        <f>IF(OR(E42="",F42=""),"",NETWORKDAYS(E42,F42,Feriados!$A$2:$A$9))</f>
        <v>10</v>
      </c>
      <c r="H42" s="111" t="s">
        <v>4</v>
      </c>
      <c r="I42" s="111" t="s">
        <v>4</v>
      </c>
      <c r="J42" s="111" t="s">
        <v>23</v>
      </c>
      <c r="K42" s="112" t="s">
        <v>4</v>
      </c>
      <c r="L42" s="119" t="s">
        <v>56</v>
      </c>
    </row>
    <row r="43" spans="1:12" outlineLevel="1">
      <c r="A43" s="107" t="s">
        <v>108</v>
      </c>
      <c r="B43" s="108" t="s">
        <v>20</v>
      </c>
      <c r="C43" s="187" t="s">
        <v>109</v>
      </c>
      <c r="D43" s="152" t="s">
        <v>22</v>
      </c>
      <c r="E43" s="110">
        <v>46304</v>
      </c>
      <c r="F43" s="110">
        <v>46304</v>
      </c>
      <c r="G43" s="106">
        <f>IF(OR(E43="",F43=""),"",NETWORKDAYS(E43,F43,Feriados!$A$2:$A$9))</f>
        <v>1</v>
      </c>
      <c r="H43" s="111" t="s">
        <v>4</v>
      </c>
      <c r="I43" s="111" t="s">
        <v>4</v>
      </c>
      <c r="J43" s="111" t="s">
        <v>23</v>
      </c>
      <c r="K43" s="112" t="s">
        <v>4</v>
      </c>
      <c r="L43" s="119" t="s">
        <v>80</v>
      </c>
    </row>
    <row r="44" spans="1:12" outlineLevel="1">
      <c r="A44" s="154" t="s">
        <v>110</v>
      </c>
      <c r="B44" s="155" t="s">
        <v>26</v>
      </c>
      <c r="C44" s="187" t="s">
        <v>111</v>
      </c>
      <c r="D44" s="155" t="s">
        <v>55</v>
      </c>
      <c r="E44" s="110">
        <v>46304</v>
      </c>
      <c r="F44" s="110">
        <v>46304</v>
      </c>
      <c r="G44" s="106">
        <f>IF(OR(E44="",F44=""),"",NETWORKDAYS(E44,F44,Feriados!$A$2:$A$9))</f>
        <v>1</v>
      </c>
      <c r="H44" s="111" t="s">
        <v>4</v>
      </c>
      <c r="I44" s="111" t="s">
        <v>4</v>
      </c>
      <c r="J44" s="111" t="s">
        <v>23</v>
      </c>
      <c r="K44" s="112" t="s">
        <v>4</v>
      </c>
      <c r="L44" s="119" t="s">
        <v>112</v>
      </c>
    </row>
    <row r="45" spans="1:12" s="31" customFormat="1" ht="24" outlineLevel="1">
      <c r="A45" s="154" t="s">
        <v>113</v>
      </c>
      <c r="B45" s="108" t="s">
        <v>26</v>
      </c>
      <c r="C45" s="151" t="s">
        <v>114</v>
      </c>
      <c r="D45" s="152" t="s">
        <v>79</v>
      </c>
      <c r="E45" s="110">
        <v>46349</v>
      </c>
      <c r="F45" s="110">
        <v>46353</v>
      </c>
      <c r="G45" s="106">
        <f>IF(OR(E45="",F45=""),"",NETWORKDAYS(E45,F45,Feriados!$A$2:$A$9))</f>
        <v>5</v>
      </c>
      <c r="H45" s="111" t="s">
        <v>4</v>
      </c>
      <c r="I45" s="111" t="s">
        <v>4</v>
      </c>
      <c r="J45" s="111" t="s">
        <v>23</v>
      </c>
      <c r="K45" s="112" t="s">
        <v>115</v>
      </c>
      <c r="L45" s="141" t="s">
        <v>56</v>
      </c>
    </row>
    <row r="46" spans="1:12" outlineLevel="1">
      <c r="A46" s="154" t="s">
        <v>116</v>
      </c>
      <c r="B46" s="156" t="s">
        <v>26</v>
      </c>
      <c r="C46" s="187" t="s">
        <v>117</v>
      </c>
      <c r="D46" s="156" t="s">
        <v>118</v>
      </c>
      <c r="E46" s="144"/>
      <c r="F46" s="144"/>
      <c r="G46" s="106" t="str">
        <f>IF(OR(E46="",F46=""),"",NETWORKDAYS(E46,F46,Feriados!$A$2:$A$9))</f>
        <v/>
      </c>
      <c r="H46" s="111" t="s">
        <v>4</v>
      </c>
      <c r="I46" s="111" t="s">
        <v>4</v>
      </c>
      <c r="J46" s="111" t="s">
        <v>23</v>
      </c>
      <c r="K46" s="112" t="s">
        <v>119</v>
      </c>
      <c r="L46" s="119" t="s">
        <v>80</v>
      </c>
    </row>
    <row r="47" spans="1:12" s="31" customFormat="1" ht="36" outlineLevel="1">
      <c r="A47" s="107" t="s">
        <v>120</v>
      </c>
      <c r="B47" s="108" t="s">
        <v>26</v>
      </c>
      <c r="C47" s="187" t="s">
        <v>121</v>
      </c>
      <c r="D47" s="108" t="s">
        <v>79</v>
      </c>
      <c r="E47" s="110">
        <v>46308</v>
      </c>
      <c r="F47" s="110">
        <v>46318</v>
      </c>
      <c r="G47" s="106">
        <f>IF(OR(E47="",F47=""),"",NETWORKDAYS(E47,F47,Feriados!$A$2:$A$9))</f>
        <v>9</v>
      </c>
      <c r="H47" s="111" t="s">
        <v>4</v>
      </c>
      <c r="I47" s="111" t="s">
        <v>4</v>
      </c>
      <c r="J47" s="111" t="s">
        <v>23</v>
      </c>
      <c r="K47" s="112" t="s">
        <v>122</v>
      </c>
      <c r="L47" s="141" t="s">
        <v>80</v>
      </c>
    </row>
    <row r="48" spans="1:12" ht="24" outlineLevel="1">
      <c r="A48" s="107" t="s">
        <v>123</v>
      </c>
      <c r="B48" s="108" t="s">
        <v>26</v>
      </c>
      <c r="C48" s="109" t="s">
        <v>124</v>
      </c>
      <c r="D48" s="108" t="s">
        <v>125</v>
      </c>
      <c r="E48" s="110">
        <v>46304</v>
      </c>
      <c r="F48" s="110">
        <v>46308</v>
      </c>
      <c r="G48" s="106">
        <f>IF(OR(E48="",F48=""),"",NETWORKDAYS(E48,F48,Feriados!$A$2:$A$9))</f>
        <v>2</v>
      </c>
      <c r="H48" s="111" t="s">
        <v>4</v>
      </c>
      <c r="I48" s="111" t="s">
        <v>4</v>
      </c>
      <c r="J48" s="111" t="s">
        <v>23</v>
      </c>
      <c r="K48" s="112" t="s">
        <v>126</v>
      </c>
      <c r="L48" s="119" t="s">
        <v>80</v>
      </c>
    </row>
    <row r="49" spans="1:12" outlineLevel="1">
      <c r="A49" s="107" t="s">
        <v>127</v>
      </c>
      <c r="B49" s="108" t="s">
        <v>26</v>
      </c>
      <c r="C49" s="187" t="s">
        <v>128</v>
      </c>
      <c r="D49" s="108" t="s">
        <v>129</v>
      </c>
      <c r="E49" s="110">
        <v>46308</v>
      </c>
      <c r="F49" s="110">
        <v>46308</v>
      </c>
      <c r="G49" s="106">
        <f>IF(OR(E49="",F49=""),"",NETWORKDAYS(E49,F49,Feriados!$A$2:$A$9))</f>
        <v>1</v>
      </c>
      <c r="H49" s="111" t="s">
        <v>4</v>
      </c>
      <c r="I49" s="111" t="s">
        <v>4</v>
      </c>
      <c r="J49" s="111" t="s">
        <v>23</v>
      </c>
      <c r="K49" s="112" t="s">
        <v>4</v>
      </c>
      <c r="L49" s="119" t="s">
        <v>56</v>
      </c>
    </row>
    <row r="50" spans="1:12" outlineLevel="1">
      <c r="A50" s="107" t="s">
        <v>130</v>
      </c>
      <c r="B50" s="108" t="s">
        <v>4</v>
      </c>
      <c r="C50" s="187" t="s">
        <v>131</v>
      </c>
      <c r="D50" s="108" t="s">
        <v>132</v>
      </c>
      <c r="E50" s="111"/>
      <c r="F50" s="111"/>
      <c r="G50" s="106" t="str">
        <f>IF(OR(E50="",F50=""),"",NETWORKDAYS(E50,F50,Feriados!$A$2:$A$9))</f>
        <v/>
      </c>
      <c r="H50" s="111" t="s">
        <v>4</v>
      </c>
      <c r="I50" s="111" t="s">
        <v>4</v>
      </c>
      <c r="J50" s="111" t="s">
        <v>4</v>
      </c>
      <c r="K50" s="112" t="s">
        <v>4</v>
      </c>
      <c r="L50" s="119" t="s">
        <v>4</v>
      </c>
    </row>
    <row r="51" spans="1:12" outlineLevel="1">
      <c r="A51" s="154" t="s">
        <v>133</v>
      </c>
      <c r="B51" s="108" t="s">
        <v>26</v>
      </c>
      <c r="C51" s="109" t="s">
        <v>134</v>
      </c>
      <c r="D51" s="108" t="s">
        <v>135</v>
      </c>
      <c r="E51" s="110">
        <v>46309</v>
      </c>
      <c r="F51" s="110">
        <v>46325</v>
      </c>
      <c r="G51" s="106">
        <f>IF(OR(E51="",F51=""),"",NETWORKDAYS(E51,F51,Feriados!$A$2:$A$9))</f>
        <v>13</v>
      </c>
      <c r="H51" s="111" t="s">
        <v>4</v>
      </c>
      <c r="I51" s="111" t="s">
        <v>4</v>
      </c>
      <c r="J51" s="111" t="s">
        <v>23</v>
      </c>
      <c r="K51" s="112" t="s">
        <v>4</v>
      </c>
      <c r="L51" s="119" t="s">
        <v>80</v>
      </c>
    </row>
    <row r="52" spans="1:12" ht="24" outlineLevel="1">
      <c r="A52" s="102" t="s">
        <v>136</v>
      </c>
      <c r="B52" s="103" t="s">
        <v>20</v>
      </c>
      <c r="C52" s="189" t="s">
        <v>137</v>
      </c>
      <c r="D52" s="103" t="s">
        <v>138</v>
      </c>
      <c r="E52" s="105">
        <v>46371</v>
      </c>
      <c r="F52" s="105">
        <v>46374</v>
      </c>
      <c r="G52" s="106">
        <f>IF(OR(E52="",F52=""),"",NETWORKDAYS(E52,F52,Feriados!$A$2:$A$9))</f>
        <v>4</v>
      </c>
      <c r="H52" s="103" t="s">
        <v>4</v>
      </c>
      <c r="I52" s="103" t="s">
        <v>4</v>
      </c>
      <c r="J52" s="103" t="s">
        <v>23</v>
      </c>
      <c r="K52" s="104" t="s">
        <v>139</v>
      </c>
      <c r="L52" s="119" t="s">
        <v>140</v>
      </c>
    </row>
    <row r="53" spans="1:12" outlineLevel="1">
      <c r="A53" s="102" t="s">
        <v>141</v>
      </c>
      <c r="B53" s="103" t="s">
        <v>26</v>
      </c>
      <c r="C53" s="104" t="s">
        <v>142</v>
      </c>
      <c r="D53" s="103" t="s">
        <v>79</v>
      </c>
      <c r="E53" s="105">
        <v>46374</v>
      </c>
      <c r="F53" s="105">
        <v>46374</v>
      </c>
      <c r="G53" s="106">
        <f>IF(OR(E53="",F53=""),"",NETWORKDAYS(E53,F53,Feriados!$A$2:$A$9))</f>
        <v>1</v>
      </c>
      <c r="H53" s="103" t="s">
        <v>4</v>
      </c>
      <c r="I53" s="103" t="s">
        <v>4</v>
      </c>
      <c r="J53" s="103" t="s">
        <v>23</v>
      </c>
      <c r="K53" s="104" t="s">
        <v>4</v>
      </c>
      <c r="L53" s="119" t="s">
        <v>80</v>
      </c>
    </row>
    <row r="54" spans="1:12" outlineLevel="1">
      <c r="A54" s="102" t="s">
        <v>143</v>
      </c>
      <c r="B54" s="103" t="s">
        <v>26</v>
      </c>
      <c r="C54" s="189" t="s">
        <v>144</v>
      </c>
      <c r="D54" s="103" t="s">
        <v>138</v>
      </c>
      <c r="E54" s="105">
        <v>46377</v>
      </c>
      <c r="F54" s="105">
        <v>46379</v>
      </c>
      <c r="G54" s="106">
        <f>IF(OR(E54="",F54=""),"",NETWORKDAYS(E54,F54,Feriados!$A$2:$A$9))</f>
        <v>3</v>
      </c>
      <c r="H54" s="103" t="s">
        <v>4</v>
      </c>
      <c r="I54" s="103" t="s">
        <v>4</v>
      </c>
      <c r="J54" s="103" t="s">
        <v>23</v>
      </c>
      <c r="K54" s="104" t="s">
        <v>145</v>
      </c>
      <c r="L54" s="119" t="s">
        <v>140</v>
      </c>
    </row>
    <row r="55" spans="1:12" outlineLevel="1">
      <c r="A55" s="107" t="s">
        <v>146</v>
      </c>
      <c r="B55" s="108" t="s">
        <v>26</v>
      </c>
      <c r="C55" s="109" t="s">
        <v>147</v>
      </c>
      <c r="D55" s="111" t="s">
        <v>79</v>
      </c>
      <c r="E55" s="110">
        <v>46308</v>
      </c>
      <c r="F55" s="110">
        <v>46374</v>
      </c>
      <c r="G55" s="106">
        <f>IF(OR(E55="",F55=""),"",NETWORKDAYS(E55,F55,Feriados!$A$2:$A$9))</f>
        <v>47</v>
      </c>
      <c r="H55" s="111" t="s">
        <v>4</v>
      </c>
      <c r="I55" s="111" t="s">
        <v>4</v>
      </c>
      <c r="J55" s="111" t="s">
        <v>23</v>
      </c>
      <c r="K55" s="112" t="s">
        <v>4</v>
      </c>
      <c r="L55" s="119" t="s">
        <v>80</v>
      </c>
    </row>
    <row r="56" spans="1:12" outlineLevel="1">
      <c r="A56" s="113" t="s">
        <v>148</v>
      </c>
      <c r="B56" s="111" t="s">
        <v>26</v>
      </c>
      <c r="C56" s="112" t="s">
        <v>149</v>
      </c>
      <c r="D56" s="111" t="s">
        <v>79</v>
      </c>
      <c r="E56" s="110">
        <v>46357</v>
      </c>
      <c r="F56" s="110">
        <v>46374</v>
      </c>
      <c r="G56" s="106">
        <f>IF(OR(E56="",F56=""),"",NETWORKDAYS(E56,F56,Feriados!$A$2:$A$9))</f>
        <v>14</v>
      </c>
      <c r="H56" s="111" t="s">
        <v>4</v>
      </c>
      <c r="I56" s="111" t="s">
        <v>4</v>
      </c>
      <c r="J56" s="111" t="s">
        <v>23</v>
      </c>
      <c r="K56" s="112" t="s">
        <v>4</v>
      </c>
      <c r="L56" s="119" t="s">
        <v>80</v>
      </c>
    </row>
    <row r="57" spans="1:12" s="125" customFormat="1" ht="12.75" outlineLevel="1">
      <c r="A57" s="120" t="s">
        <v>150</v>
      </c>
      <c r="B57" s="120" t="s">
        <v>4</v>
      </c>
      <c r="C57" s="121" t="s">
        <v>151</v>
      </c>
      <c r="D57" s="121" t="s">
        <v>79</v>
      </c>
      <c r="E57" s="122">
        <v>46296</v>
      </c>
      <c r="F57" s="122">
        <v>46325</v>
      </c>
      <c r="G57" s="130">
        <f>IF(OR(E57="",F57=""),"",NETWORKDAYS(E57,F57,Feriados!$A$2:$A$9))</f>
        <v>21</v>
      </c>
      <c r="H57" s="122">
        <v>46304</v>
      </c>
      <c r="I57" s="123" t="s">
        <v>4</v>
      </c>
      <c r="J57" s="121" t="s">
        <v>93</v>
      </c>
      <c r="K57" s="124" t="s">
        <v>4</v>
      </c>
      <c r="L57" s="121" t="s">
        <v>80</v>
      </c>
    </row>
    <row r="58" spans="1:12" ht="24" outlineLevel="1">
      <c r="A58" s="113" t="s">
        <v>152</v>
      </c>
      <c r="B58" s="111" t="s">
        <v>26</v>
      </c>
      <c r="C58" s="187" t="s">
        <v>153</v>
      </c>
      <c r="D58" s="111" t="s">
        <v>125</v>
      </c>
      <c r="E58" s="110">
        <v>46328</v>
      </c>
      <c r="F58" s="110">
        <v>46353</v>
      </c>
      <c r="G58" s="106">
        <f>IF(OR(E58="",F58=""),"",NETWORKDAYS(E58,F58,Feriados!$A$2:$A$9))</f>
        <v>18</v>
      </c>
      <c r="H58" s="111" t="s">
        <v>4</v>
      </c>
      <c r="I58" s="111" t="s">
        <v>4</v>
      </c>
      <c r="J58" s="111" t="s">
        <v>23</v>
      </c>
      <c r="K58" s="112" t="s">
        <v>4</v>
      </c>
      <c r="L58" s="119" t="s">
        <v>80</v>
      </c>
    </row>
    <row r="59" spans="1:12" s="31" customFormat="1" ht="24" outlineLevel="1">
      <c r="A59" s="113" t="s">
        <v>154</v>
      </c>
      <c r="B59" s="111" t="s">
        <v>26</v>
      </c>
      <c r="C59" s="112" t="s">
        <v>155</v>
      </c>
      <c r="D59" s="111" t="s">
        <v>138</v>
      </c>
      <c r="E59" s="110">
        <v>46357</v>
      </c>
      <c r="F59" s="110">
        <v>46363</v>
      </c>
      <c r="G59" s="106">
        <f>IF(OR(E59="",F59=""),"",NETWORKDAYS(E59,F59,Feriados!$A$2:$A$9))</f>
        <v>5</v>
      </c>
      <c r="H59" s="111" t="s">
        <v>4</v>
      </c>
      <c r="I59" s="111" t="s">
        <v>4</v>
      </c>
      <c r="J59" s="111" t="s">
        <v>23</v>
      </c>
      <c r="K59" s="112" t="s">
        <v>4</v>
      </c>
      <c r="L59" s="141" t="s">
        <v>140</v>
      </c>
    </row>
    <row r="60" spans="1:12" s="125" customFormat="1" ht="12.75" outlineLevel="1">
      <c r="A60" s="113" t="s">
        <v>156</v>
      </c>
      <c r="B60" s="120" t="s">
        <v>26</v>
      </c>
      <c r="C60" s="121" t="s">
        <v>157</v>
      </c>
      <c r="D60" s="121" t="s">
        <v>79</v>
      </c>
      <c r="E60" s="122">
        <v>46374</v>
      </c>
      <c r="F60" s="122">
        <v>46386</v>
      </c>
      <c r="G60" s="120">
        <f>IF(OR(E60="",F60=""),"",NETWORKDAYS(E60,F60,Feriados!$A$2:$A$9))</f>
        <v>8</v>
      </c>
      <c r="H60" s="123" t="s">
        <v>4</v>
      </c>
      <c r="I60" s="123" t="s">
        <v>4</v>
      </c>
      <c r="J60" s="121" t="s">
        <v>23</v>
      </c>
      <c r="K60" s="124" t="s">
        <v>158</v>
      </c>
      <c r="L60" s="121" t="s">
        <v>56</v>
      </c>
    </row>
    <row r="61" spans="1:12" ht="24" outlineLevel="1">
      <c r="A61" s="175" t="s">
        <v>159</v>
      </c>
      <c r="B61" s="108" t="s">
        <v>26</v>
      </c>
      <c r="C61" s="109" t="s">
        <v>160</v>
      </c>
      <c r="D61" s="108" t="s">
        <v>138</v>
      </c>
      <c r="E61" s="110">
        <v>46372</v>
      </c>
      <c r="F61" s="110">
        <v>46378</v>
      </c>
      <c r="G61" s="106">
        <f>IF(OR(E61="",F61=""),"",NETWORKDAYS(E61,F61,Feriados!$A$2:$A$9))</f>
        <v>5</v>
      </c>
      <c r="H61" s="111" t="s">
        <v>4</v>
      </c>
      <c r="I61" s="111" t="s">
        <v>4</v>
      </c>
      <c r="J61" s="111" t="s">
        <v>23</v>
      </c>
      <c r="K61" s="112" t="s">
        <v>161</v>
      </c>
      <c r="L61" s="141" t="s">
        <v>140</v>
      </c>
    </row>
    <row r="62" spans="1:12" s="31" customFormat="1" ht="35.25" customHeight="1" outlineLevel="1">
      <c r="A62" s="175" t="s">
        <v>162</v>
      </c>
      <c r="B62" s="108" t="s">
        <v>26</v>
      </c>
      <c r="C62" s="109" t="s">
        <v>163</v>
      </c>
      <c r="D62" s="108" t="s">
        <v>138</v>
      </c>
      <c r="E62" s="110">
        <v>46374</v>
      </c>
      <c r="F62" s="110">
        <v>46374</v>
      </c>
      <c r="G62" s="106">
        <f>IF(OR(E62="",F62=""),"",NETWORKDAYS(E62,F62,Feriados!$A$2:$A$9))</f>
        <v>1</v>
      </c>
      <c r="H62" s="111" t="s">
        <v>4</v>
      </c>
      <c r="I62" s="111" t="s">
        <v>4</v>
      </c>
      <c r="J62" s="111" t="s">
        <v>23</v>
      </c>
      <c r="K62" s="112" t="s">
        <v>164</v>
      </c>
      <c r="L62" s="141" t="s">
        <v>140</v>
      </c>
    </row>
    <row r="63" spans="1:12" s="31" customFormat="1">
      <c r="A63" s="136">
        <v>3</v>
      </c>
      <c r="B63" s="137" t="s">
        <v>4</v>
      </c>
      <c r="C63" s="137" t="s">
        <v>165</v>
      </c>
      <c r="D63" s="137" t="s">
        <v>4</v>
      </c>
      <c r="E63" s="79">
        <f>MIN(E64:E67)</f>
        <v>46329</v>
      </c>
      <c r="F63" s="79">
        <f>MAX(F64:F67)</f>
        <v>46418</v>
      </c>
      <c r="G63" s="72">
        <f>IF(OR(E63="",F63=""),"",NETWORKDAYS(E63,F63,Feriados!$A$2:$A$9))</f>
        <v>61</v>
      </c>
      <c r="H63" s="49" t="s">
        <v>4</v>
      </c>
      <c r="I63" s="49" t="s">
        <v>4</v>
      </c>
      <c r="J63" s="49" t="s">
        <v>4</v>
      </c>
      <c r="K63" s="138" t="s">
        <v>4</v>
      </c>
      <c r="L63" s="139" t="s">
        <v>4</v>
      </c>
    </row>
    <row r="64" spans="1:12" ht="24" outlineLevel="1">
      <c r="A64" s="140" t="s">
        <v>166</v>
      </c>
      <c r="B64" s="143" t="s">
        <v>26</v>
      </c>
      <c r="C64" s="142" t="s">
        <v>167</v>
      </c>
      <c r="D64" s="143" t="s">
        <v>118</v>
      </c>
      <c r="E64" s="144">
        <v>46357</v>
      </c>
      <c r="F64" s="144">
        <v>46387</v>
      </c>
      <c r="G64" s="140">
        <f>IF(OR(E64="",F64=""),"",NETWORKDAYS(E64,F64,Feriados!$A$2:$A$9))</f>
        <v>22</v>
      </c>
      <c r="H64" s="143" t="s">
        <v>4</v>
      </c>
      <c r="I64" s="143" t="s">
        <v>4</v>
      </c>
      <c r="J64" s="143" t="s">
        <v>23</v>
      </c>
      <c r="K64" s="142" t="s">
        <v>4</v>
      </c>
      <c r="L64" s="119" t="s">
        <v>80</v>
      </c>
    </row>
    <row r="65" spans="1:12" ht="24" outlineLevel="1">
      <c r="A65" s="140" t="s">
        <v>168</v>
      </c>
      <c r="B65" s="143" t="s">
        <v>26</v>
      </c>
      <c r="C65" s="187" t="s">
        <v>169</v>
      </c>
      <c r="D65" s="143" t="s">
        <v>79</v>
      </c>
      <c r="E65" s="144">
        <v>46329</v>
      </c>
      <c r="F65" s="144">
        <v>46367</v>
      </c>
      <c r="G65" s="140">
        <f>IF(OR(E65="",F65=""),"",NETWORKDAYS(E65,F65,Feriados!$A$2:$A$9))</f>
        <v>28</v>
      </c>
      <c r="H65" s="143" t="s">
        <v>4</v>
      </c>
      <c r="I65" s="143" t="s">
        <v>4</v>
      </c>
      <c r="J65" s="143" t="s">
        <v>23</v>
      </c>
      <c r="K65" s="142" t="s">
        <v>4</v>
      </c>
      <c r="L65" s="119" t="s">
        <v>80</v>
      </c>
    </row>
    <row r="66" spans="1:12" ht="24" outlineLevel="1">
      <c r="A66" s="140" t="s">
        <v>170</v>
      </c>
      <c r="B66" s="143" t="s">
        <v>26</v>
      </c>
      <c r="C66" s="142" t="s">
        <v>171</v>
      </c>
      <c r="D66" s="143" t="s">
        <v>172</v>
      </c>
      <c r="E66" s="144">
        <v>46370</v>
      </c>
      <c r="F66" s="144">
        <v>46374</v>
      </c>
      <c r="G66" s="140">
        <f>IF(OR(E66="",F66=""),"",NETWORKDAYS(E66,F66,Feriados!$A$2:$A$9))</f>
        <v>5</v>
      </c>
      <c r="H66" s="143" t="s">
        <v>4</v>
      </c>
      <c r="I66" s="143" t="s">
        <v>4</v>
      </c>
      <c r="J66" s="143" t="s">
        <v>23</v>
      </c>
      <c r="K66" s="142" t="s">
        <v>173</v>
      </c>
      <c r="L66" s="119" t="s">
        <v>80</v>
      </c>
    </row>
    <row r="67" spans="1:12" ht="24" outlineLevel="1">
      <c r="A67" s="140" t="s">
        <v>174</v>
      </c>
      <c r="B67" s="143" t="s">
        <v>26</v>
      </c>
      <c r="C67" s="142" t="s">
        <v>175</v>
      </c>
      <c r="D67" s="143" t="s">
        <v>79</v>
      </c>
      <c r="E67" s="110">
        <v>46388</v>
      </c>
      <c r="F67" s="110">
        <v>46418</v>
      </c>
      <c r="G67" s="140">
        <f>IF(OR(E67="",F67=""),"",NETWORKDAYS(E67,F67,Feriados!$A$2:$A$9))</f>
        <v>20</v>
      </c>
      <c r="H67" s="143" t="s">
        <v>4</v>
      </c>
      <c r="I67" s="143" t="s">
        <v>4</v>
      </c>
      <c r="J67" s="143" t="s">
        <v>23</v>
      </c>
      <c r="K67" s="142" t="s">
        <v>176</v>
      </c>
      <c r="L67" s="119" t="s">
        <v>80</v>
      </c>
    </row>
    <row r="68" spans="1:12">
      <c r="A68" s="136">
        <v>4</v>
      </c>
      <c r="B68" s="137" t="s">
        <v>4</v>
      </c>
      <c r="C68" s="137" t="s">
        <v>177</v>
      </c>
      <c r="D68" s="137" t="s">
        <v>4</v>
      </c>
      <c r="E68" s="79">
        <f>MIN(E69:E76)</f>
        <v>46296</v>
      </c>
      <c r="F68" s="79">
        <f>MAX(F69:F76)</f>
        <v>46444</v>
      </c>
      <c r="G68" s="72">
        <f>IF(OR(E68="",F68=""),"",NETWORKDAYS(E68,F68,Feriados!$A$2:$A$9))</f>
        <v>100</v>
      </c>
      <c r="H68" s="137" t="s">
        <v>4</v>
      </c>
      <c r="I68" s="137" t="s">
        <v>4</v>
      </c>
      <c r="J68" s="137" t="s">
        <v>4</v>
      </c>
      <c r="K68" s="138" t="s">
        <v>4</v>
      </c>
      <c r="L68" s="139" t="s">
        <v>4</v>
      </c>
    </row>
    <row r="69" spans="1:12" outlineLevel="1">
      <c r="A69" s="107" t="s">
        <v>178</v>
      </c>
      <c r="B69" s="108" t="s">
        <v>26</v>
      </c>
      <c r="C69" s="109" t="s">
        <v>179</v>
      </c>
      <c r="D69" s="108" t="s">
        <v>180</v>
      </c>
      <c r="E69" s="110">
        <v>46311</v>
      </c>
      <c r="F69" s="110">
        <v>46311</v>
      </c>
      <c r="G69" s="140">
        <f>IF(OR(E69="",F69=""),"",NETWORKDAYS(E69,F69,Feriados!$A$2:$A$9))</f>
        <v>1</v>
      </c>
      <c r="H69" s="111" t="s">
        <v>4</v>
      </c>
      <c r="I69" s="111" t="s">
        <v>4</v>
      </c>
      <c r="J69" s="111" t="s">
        <v>23</v>
      </c>
      <c r="K69" s="157" t="s">
        <v>4</v>
      </c>
      <c r="L69" s="119" t="s">
        <v>181</v>
      </c>
    </row>
    <row r="70" spans="1:12" outlineLevel="1">
      <c r="A70" s="107" t="s">
        <v>182</v>
      </c>
      <c r="B70" s="108" t="s">
        <v>26</v>
      </c>
      <c r="C70" s="109" t="s">
        <v>183</v>
      </c>
      <c r="D70" s="108" t="s">
        <v>180</v>
      </c>
      <c r="E70" s="110">
        <v>46311</v>
      </c>
      <c r="F70" s="110">
        <v>46311</v>
      </c>
      <c r="G70" s="140">
        <f>IF(OR(E70="",F70=""),"",NETWORKDAYS(E70,F70,Feriados!$A$2:$A$9))</f>
        <v>1</v>
      </c>
      <c r="H70" s="111" t="s">
        <v>4</v>
      </c>
      <c r="I70" s="111" t="s">
        <v>4</v>
      </c>
      <c r="J70" s="111" t="s">
        <v>23</v>
      </c>
      <c r="K70" s="157" t="s">
        <v>184</v>
      </c>
      <c r="L70" s="119" t="s">
        <v>80</v>
      </c>
    </row>
    <row r="71" spans="1:12" outlineLevel="1">
      <c r="A71" s="107" t="s">
        <v>185</v>
      </c>
      <c r="B71" s="108" t="s">
        <v>26</v>
      </c>
      <c r="C71" s="187" t="s">
        <v>186</v>
      </c>
      <c r="D71" s="108" t="s">
        <v>118</v>
      </c>
      <c r="E71" s="110">
        <v>46314</v>
      </c>
      <c r="F71" s="110">
        <v>46318</v>
      </c>
      <c r="G71" s="140">
        <f>IF(OR(E71="",F71=""),"",NETWORKDAYS(E71,F71,Feriados!$A$2:$A$9))</f>
        <v>5</v>
      </c>
      <c r="H71" s="111" t="s">
        <v>4</v>
      </c>
      <c r="I71" s="111" t="s">
        <v>4</v>
      </c>
      <c r="J71" s="111" t="s">
        <v>23</v>
      </c>
      <c r="K71" s="112" t="s">
        <v>4</v>
      </c>
      <c r="L71" s="119" t="s">
        <v>80</v>
      </c>
    </row>
    <row r="72" spans="1:12" outlineLevel="1">
      <c r="A72" s="140" t="s">
        <v>187</v>
      </c>
      <c r="B72" s="143" t="s">
        <v>26</v>
      </c>
      <c r="C72" s="187" t="s">
        <v>188</v>
      </c>
      <c r="D72" s="143" t="s">
        <v>125</v>
      </c>
      <c r="E72" s="110">
        <v>46296</v>
      </c>
      <c r="F72" s="110">
        <v>46325</v>
      </c>
      <c r="G72" s="140">
        <f>IF(OR(E72="",F72=""),"",NETWORKDAYS(E72,F72,Feriados!$A$2:$A$9))</f>
        <v>21</v>
      </c>
      <c r="H72" s="111" t="s">
        <v>4</v>
      </c>
      <c r="I72" s="111" t="s">
        <v>4</v>
      </c>
      <c r="J72" s="111" t="s">
        <v>23</v>
      </c>
      <c r="K72" s="157" t="s">
        <v>4</v>
      </c>
      <c r="L72" s="119" t="s">
        <v>80</v>
      </c>
    </row>
    <row r="73" spans="1:12" outlineLevel="1">
      <c r="A73" s="140" t="s">
        <v>189</v>
      </c>
      <c r="B73" s="143" t="s">
        <v>26</v>
      </c>
      <c r="C73" s="142" t="s">
        <v>190</v>
      </c>
      <c r="D73" s="143" t="s">
        <v>191</v>
      </c>
      <c r="E73" s="110">
        <v>46357</v>
      </c>
      <c r="F73" s="110">
        <v>46387</v>
      </c>
      <c r="G73" s="140">
        <f>IF(OR(E73="",F73=""),"",NETWORKDAYS(E73,F73,Feriados!$A$2:$A$9))</f>
        <v>22</v>
      </c>
      <c r="H73" s="111" t="s">
        <v>4</v>
      </c>
      <c r="I73" s="111" t="s">
        <v>4</v>
      </c>
      <c r="J73" s="111" t="s">
        <v>23</v>
      </c>
      <c r="K73" s="112" t="s">
        <v>4</v>
      </c>
      <c r="L73" s="119" t="s">
        <v>140</v>
      </c>
    </row>
    <row r="74" spans="1:12" outlineLevel="1">
      <c r="A74" s="140" t="s">
        <v>192</v>
      </c>
      <c r="B74" s="143" t="s">
        <v>26</v>
      </c>
      <c r="C74" s="142" t="s">
        <v>193</v>
      </c>
      <c r="D74" s="143" t="s">
        <v>138</v>
      </c>
      <c r="E74" s="110">
        <v>46308</v>
      </c>
      <c r="F74" s="110">
        <v>46325</v>
      </c>
      <c r="G74" s="140">
        <f>IF(OR(E74="",F74=""),"",NETWORKDAYS(E74,F74,Feriados!$A$2:$A$9))</f>
        <v>14</v>
      </c>
      <c r="H74" s="143" t="s">
        <v>4</v>
      </c>
      <c r="I74" s="143" t="s">
        <v>4</v>
      </c>
      <c r="J74" s="143" t="s">
        <v>23</v>
      </c>
      <c r="K74" s="157" t="s">
        <v>194</v>
      </c>
      <c r="L74" s="119" t="s">
        <v>140</v>
      </c>
    </row>
    <row r="75" spans="1:12" outlineLevel="1">
      <c r="A75" s="107" t="s">
        <v>195</v>
      </c>
      <c r="B75" s="108" t="s">
        <v>26</v>
      </c>
      <c r="C75" s="187" t="s">
        <v>196</v>
      </c>
      <c r="D75" s="108" t="s">
        <v>197</v>
      </c>
      <c r="E75" s="110">
        <v>46357</v>
      </c>
      <c r="F75" s="110">
        <v>46387</v>
      </c>
      <c r="G75" s="140">
        <f>IF(OR(E75="",F75=""),"",NETWORKDAYS(E75,F75,Feriados!$A$2:$A$9))</f>
        <v>22</v>
      </c>
      <c r="H75" s="111" t="s">
        <v>4</v>
      </c>
      <c r="I75" s="111" t="s">
        <v>4</v>
      </c>
      <c r="J75" s="111" t="s">
        <v>23</v>
      </c>
      <c r="K75" s="112" t="s">
        <v>198</v>
      </c>
      <c r="L75" s="119" t="s">
        <v>140</v>
      </c>
    </row>
    <row r="76" spans="1:12" outlineLevel="1">
      <c r="A76" s="113" t="s">
        <v>199</v>
      </c>
      <c r="B76" s="111" t="s">
        <v>26</v>
      </c>
      <c r="C76" s="112" t="s">
        <v>200</v>
      </c>
      <c r="D76" s="111" t="s">
        <v>138</v>
      </c>
      <c r="E76" s="110">
        <v>46419</v>
      </c>
      <c r="F76" s="110">
        <v>46444</v>
      </c>
      <c r="G76" s="140">
        <f>IF(OR(E76="",F76=""),"",NETWORKDAYS(E76,F76,Feriados!$A$2:$A$9))</f>
        <v>18</v>
      </c>
      <c r="H76" s="111" t="s">
        <v>4</v>
      </c>
      <c r="I76" s="111" t="s">
        <v>4</v>
      </c>
      <c r="J76" s="111" t="s">
        <v>23</v>
      </c>
      <c r="K76" s="112" t="s">
        <v>4</v>
      </c>
      <c r="L76" s="119" t="s">
        <v>140</v>
      </c>
    </row>
    <row r="77" spans="1:12">
      <c r="A77" s="136">
        <v>5</v>
      </c>
      <c r="B77" s="137" t="s">
        <v>4</v>
      </c>
      <c r="C77" s="137" t="s">
        <v>201</v>
      </c>
      <c r="D77" s="137" t="s">
        <v>4</v>
      </c>
      <c r="E77" s="79">
        <f>MIN(E78:E96)</f>
        <v>46266</v>
      </c>
      <c r="F77" s="79">
        <f>MAX(F78:F96)</f>
        <v>46444</v>
      </c>
      <c r="G77" s="72">
        <f>IF(OR(E77="",F77=""),"",NETWORKDAYS(E77,F77,Feriados!$A$2:$A$9))</f>
        <v>122</v>
      </c>
      <c r="H77" s="79">
        <f>MIN(H78:H96)</f>
        <v>46286</v>
      </c>
      <c r="I77" s="79">
        <f>MAX(I78:I96)</f>
        <v>46293</v>
      </c>
      <c r="J77" s="137" t="s">
        <v>4</v>
      </c>
      <c r="K77" s="138" t="s">
        <v>4</v>
      </c>
      <c r="L77" s="139" t="s">
        <v>4</v>
      </c>
    </row>
    <row r="78" spans="1:12" s="31" customFormat="1" ht="24" outlineLevel="1">
      <c r="A78" s="114" t="s">
        <v>202</v>
      </c>
      <c r="B78" s="115" t="s">
        <v>20</v>
      </c>
      <c r="C78" s="116" t="s">
        <v>203</v>
      </c>
      <c r="D78" s="115" t="s">
        <v>204</v>
      </c>
      <c r="E78" s="117">
        <v>46286</v>
      </c>
      <c r="F78" s="158">
        <v>46293</v>
      </c>
      <c r="G78" s="159">
        <f>IF(OR(E78="",F78=""),"",NETWORKDAYS(E78,F78,Feriados!$A$2:$A$9))</f>
        <v>6</v>
      </c>
      <c r="H78" s="117">
        <v>46286</v>
      </c>
      <c r="I78" s="117">
        <v>46293</v>
      </c>
      <c r="J78" s="115" t="s">
        <v>29</v>
      </c>
      <c r="K78" s="112" t="s">
        <v>4</v>
      </c>
      <c r="L78" s="141" t="s">
        <v>112</v>
      </c>
    </row>
    <row r="79" spans="1:12" s="31" customFormat="1" outlineLevel="1">
      <c r="A79" s="114" t="s">
        <v>205</v>
      </c>
      <c r="B79" s="115" t="s">
        <v>20</v>
      </c>
      <c r="C79" s="116" t="s">
        <v>206</v>
      </c>
      <c r="D79" s="115" t="s">
        <v>207</v>
      </c>
      <c r="E79" s="117">
        <v>46286</v>
      </c>
      <c r="F79" s="158">
        <v>46293</v>
      </c>
      <c r="G79" s="159">
        <f>IF(OR(E79="",F79=""),"",NETWORKDAYS(E79,F79,Feriados!$A$2:$A$9))</f>
        <v>6</v>
      </c>
      <c r="H79" s="117">
        <v>46286</v>
      </c>
      <c r="I79" s="117">
        <v>46293</v>
      </c>
      <c r="J79" s="115" t="s">
        <v>29</v>
      </c>
      <c r="K79" s="112" t="s">
        <v>4</v>
      </c>
      <c r="L79" s="141" t="s">
        <v>112</v>
      </c>
    </row>
    <row r="80" spans="1:12" ht="24" outlineLevel="1">
      <c r="A80" s="113" t="s">
        <v>208</v>
      </c>
      <c r="B80" s="111" t="s">
        <v>26</v>
      </c>
      <c r="C80" s="112" t="s">
        <v>209</v>
      </c>
      <c r="D80" s="111" t="s">
        <v>204</v>
      </c>
      <c r="E80" s="110">
        <v>46266</v>
      </c>
      <c r="F80" s="110">
        <v>46325</v>
      </c>
      <c r="G80" s="160">
        <f>IF(OR(E80="",F80=""),"",NETWORKDAYS(E80,F80,Feriados!$A$2:$A$9))</f>
        <v>43</v>
      </c>
      <c r="H80" s="111" t="s">
        <v>4</v>
      </c>
      <c r="I80" s="111" t="s">
        <v>4</v>
      </c>
      <c r="J80" s="111" t="s">
        <v>93</v>
      </c>
      <c r="K80" s="112" t="s">
        <v>210</v>
      </c>
      <c r="L80" s="141" t="s">
        <v>112</v>
      </c>
    </row>
    <row r="81" spans="1:12" s="31" customFormat="1" ht="24" outlineLevel="1">
      <c r="A81" s="113" t="s">
        <v>211</v>
      </c>
      <c r="B81" s="111" t="s">
        <v>26</v>
      </c>
      <c r="C81" s="112" t="s">
        <v>212</v>
      </c>
      <c r="D81" s="111" t="s">
        <v>207</v>
      </c>
      <c r="E81" s="110">
        <v>46266</v>
      </c>
      <c r="F81" s="110">
        <v>46325</v>
      </c>
      <c r="G81" s="160">
        <f>IF(OR(E81="",F81=""),"",NETWORKDAYS(E81,F81,Feriados!$A$2:$A$9))</f>
        <v>43</v>
      </c>
      <c r="H81" s="111" t="s">
        <v>4</v>
      </c>
      <c r="I81" s="111" t="s">
        <v>4</v>
      </c>
      <c r="J81" s="111" t="s">
        <v>93</v>
      </c>
      <c r="K81" s="112" t="s">
        <v>210</v>
      </c>
      <c r="L81" s="141" t="s">
        <v>112</v>
      </c>
    </row>
    <row r="82" spans="1:12" s="31" customFormat="1" outlineLevel="1">
      <c r="A82" s="113" t="s">
        <v>213</v>
      </c>
      <c r="B82" s="111" t="s">
        <v>26</v>
      </c>
      <c r="C82" s="112" t="s">
        <v>214</v>
      </c>
      <c r="D82" s="111" t="s">
        <v>204</v>
      </c>
      <c r="E82" s="110">
        <v>46310</v>
      </c>
      <c r="F82" s="110">
        <v>46325</v>
      </c>
      <c r="G82" s="160">
        <f>IF(OR(E82="",F82=""),"",NETWORKDAYS(E82,F82,Feriados!$A$2:$A$9))</f>
        <v>12</v>
      </c>
      <c r="H82" s="111" t="s">
        <v>4</v>
      </c>
      <c r="I82" s="111" t="s">
        <v>4</v>
      </c>
      <c r="J82" s="111" t="s">
        <v>23</v>
      </c>
      <c r="K82" s="112" t="s">
        <v>4</v>
      </c>
      <c r="L82" s="141" t="s">
        <v>112</v>
      </c>
    </row>
    <row r="83" spans="1:12" s="31" customFormat="1" outlineLevel="1">
      <c r="A83" s="113" t="s">
        <v>215</v>
      </c>
      <c r="B83" s="111" t="s">
        <v>26</v>
      </c>
      <c r="C83" s="112" t="s">
        <v>216</v>
      </c>
      <c r="D83" s="111" t="s">
        <v>207</v>
      </c>
      <c r="E83" s="110">
        <v>46293</v>
      </c>
      <c r="F83" s="110">
        <v>46325</v>
      </c>
      <c r="G83" s="160">
        <f>IF(OR(E83="",F83=""),"",NETWORKDAYS(E83,F83,Feriados!$A$2:$A$9))</f>
        <v>24</v>
      </c>
      <c r="H83" s="111" t="s">
        <v>4</v>
      </c>
      <c r="I83" s="111" t="s">
        <v>4</v>
      </c>
      <c r="J83" s="111" t="s">
        <v>93</v>
      </c>
      <c r="K83" s="112" t="s">
        <v>4</v>
      </c>
      <c r="L83" s="141" t="s">
        <v>112</v>
      </c>
    </row>
    <row r="84" spans="1:12" s="31" customFormat="1" ht="24" outlineLevel="1">
      <c r="A84" s="113" t="s">
        <v>217</v>
      </c>
      <c r="B84" s="111" t="s">
        <v>26</v>
      </c>
      <c r="C84" s="187" t="s">
        <v>218</v>
      </c>
      <c r="D84" s="111" t="s">
        <v>219</v>
      </c>
      <c r="E84" s="110">
        <v>46339</v>
      </c>
      <c r="F84" s="110">
        <v>46339</v>
      </c>
      <c r="G84" s="160">
        <f>IF(OR(E84="",F84=""),"",NETWORKDAYS(E84,F84,Feriados!$A$2:$A$9))</f>
        <v>1</v>
      </c>
      <c r="H84" s="111" t="s">
        <v>4</v>
      </c>
      <c r="I84" s="111" t="s">
        <v>4</v>
      </c>
      <c r="J84" s="111" t="s">
        <v>23</v>
      </c>
      <c r="K84" s="112" t="s">
        <v>220</v>
      </c>
      <c r="L84" s="141" t="s">
        <v>112</v>
      </c>
    </row>
    <row r="85" spans="1:12" s="31" customFormat="1" ht="24" outlineLevel="1">
      <c r="A85" s="113" t="s">
        <v>221</v>
      </c>
      <c r="B85" s="111" t="s">
        <v>26</v>
      </c>
      <c r="C85" s="187" t="s">
        <v>222</v>
      </c>
      <c r="D85" s="111" t="s">
        <v>223</v>
      </c>
      <c r="E85" s="110">
        <v>46329</v>
      </c>
      <c r="F85" s="110">
        <v>46374</v>
      </c>
      <c r="G85" s="160">
        <f>IF(OR(E85="",F85=""),"",NETWORKDAYS(E85,F85,Feriados!$A$2:$A$9))</f>
        <v>33</v>
      </c>
      <c r="H85" s="111" t="s">
        <v>4</v>
      </c>
      <c r="I85" s="111" t="s">
        <v>4</v>
      </c>
      <c r="J85" s="111" t="s">
        <v>23</v>
      </c>
      <c r="K85" s="112" t="s">
        <v>224</v>
      </c>
      <c r="L85" s="141" t="s">
        <v>140</v>
      </c>
    </row>
    <row r="86" spans="1:12" s="31" customFormat="1" ht="24" outlineLevel="1">
      <c r="A86" s="107" t="s">
        <v>225</v>
      </c>
      <c r="B86" s="108" t="s">
        <v>26</v>
      </c>
      <c r="C86" s="187" t="s">
        <v>226</v>
      </c>
      <c r="D86" s="108" t="s">
        <v>204</v>
      </c>
      <c r="E86" s="110">
        <v>46419</v>
      </c>
      <c r="F86" s="110">
        <v>46444</v>
      </c>
      <c r="G86" s="160">
        <f>IF(OR(E86="",F86=""),"",NETWORKDAYS(E86,F86,Feriados!$A$2:$A$9))</f>
        <v>18</v>
      </c>
      <c r="H86" s="111" t="s">
        <v>4</v>
      </c>
      <c r="I86" s="111" t="s">
        <v>4</v>
      </c>
      <c r="J86" s="111" t="s">
        <v>23</v>
      </c>
      <c r="K86" s="112" t="s">
        <v>227</v>
      </c>
      <c r="L86" s="141" t="s">
        <v>112</v>
      </c>
    </row>
    <row r="87" spans="1:12" s="31" customFormat="1" ht="24" outlineLevel="1">
      <c r="A87" s="113" t="s">
        <v>228</v>
      </c>
      <c r="B87" s="111" t="s">
        <v>26</v>
      </c>
      <c r="C87" s="187" t="s">
        <v>229</v>
      </c>
      <c r="D87" s="111" t="s">
        <v>204</v>
      </c>
      <c r="E87" s="110">
        <v>46349</v>
      </c>
      <c r="F87" s="110">
        <v>46356</v>
      </c>
      <c r="G87" s="160">
        <f>IF(OR(E87="",F87=""),"",NETWORKDAYS(E87,F87,Feriados!$A$2:$A$9))</f>
        <v>6</v>
      </c>
      <c r="H87" s="111" t="s">
        <v>4</v>
      </c>
      <c r="I87" s="111" t="s">
        <v>4</v>
      </c>
      <c r="J87" s="111" t="s">
        <v>23</v>
      </c>
      <c r="K87" s="112" t="s">
        <v>230</v>
      </c>
      <c r="L87" s="141" t="s">
        <v>112</v>
      </c>
    </row>
    <row r="88" spans="1:12" s="31" customFormat="1" ht="24" outlineLevel="1">
      <c r="A88" s="113" t="s">
        <v>231</v>
      </c>
      <c r="B88" s="111" t="s">
        <v>26</v>
      </c>
      <c r="C88" s="187" t="s">
        <v>232</v>
      </c>
      <c r="D88" s="111" t="s">
        <v>207</v>
      </c>
      <c r="E88" s="110">
        <v>46349</v>
      </c>
      <c r="F88" s="110">
        <v>46356</v>
      </c>
      <c r="G88" s="160">
        <f>IF(OR(E88="",F88=""),"",NETWORKDAYS(E88,F88,Feriados!$A$2:$A$9))</f>
        <v>6</v>
      </c>
      <c r="H88" s="111" t="s">
        <v>4</v>
      </c>
      <c r="I88" s="111" t="s">
        <v>4</v>
      </c>
      <c r="J88" s="111" t="s">
        <v>23</v>
      </c>
      <c r="K88" s="112" t="s">
        <v>233</v>
      </c>
      <c r="L88" s="141" t="s">
        <v>112</v>
      </c>
    </row>
    <row r="89" spans="1:12" s="31" customFormat="1" ht="24" outlineLevel="1">
      <c r="A89" s="113" t="s">
        <v>234</v>
      </c>
      <c r="B89" s="111" t="s">
        <v>26</v>
      </c>
      <c r="C89" s="112" t="s">
        <v>235</v>
      </c>
      <c r="D89" s="111" t="s">
        <v>204</v>
      </c>
      <c r="E89" s="110">
        <v>46357</v>
      </c>
      <c r="F89" s="110">
        <v>46357</v>
      </c>
      <c r="G89" s="160">
        <f>IF(OR(E89="",F89=""),"",NETWORKDAYS(E89,F89,Feriados!$A$2:$A$9))</f>
        <v>1</v>
      </c>
      <c r="H89" s="111" t="s">
        <v>4</v>
      </c>
      <c r="I89" s="111" t="s">
        <v>4</v>
      </c>
      <c r="J89" s="111" t="s">
        <v>23</v>
      </c>
      <c r="K89" s="112" t="s">
        <v>236</v>
      </c>
      <c r="L89" s="141" t="s">
        <v>112</v>
      </c>
    </row>
    <row r="90" spans="1:12" s="31" customFormat="1" outlineLevel="1">
      <c r="A90" s="113" t="s">
        <v>237</v>
      </c>
      <c r="B90" s="111" t="s">
        <v>26</v>
      </c>
      <c r="C90" s="112" t="s">
        <v>238</v>
      </c>
      <c r="D90" s="111" t="s">
        <v>207</v>
      </c>
      <c r="E90" s="110">
        <v>46357</v>
      </c>
      <c r="F90" s="110">
        <v>46357</v>
      </c>
      <c r="G90" s="160">
        <f>IF(OR(E90="",F90=""),"",NETWORKDAYS(E90,F90,Feriados!$A$2:$A$9))</f>
        <v>1</v>
      </c>
      <c r="H90" s="111" t="s">
        <v>4</v>
      </c>
      <c r="I90" s="111" t="s">
        <v>4</v>
      </c>
      <c r="J90" s="111" t="s">
        <v>23</v>
      </c>
      <c r="K90" s="112" t="s">
        <v>239</v>
      </c>
      <c r="L90" s="141" t="s">
        <v>112</v>
      </c>
    </row>
    <row r="91" spans="1:12" s="31" customFormat="1" outlineLevel="1">
      <c r="A91" s="113" t="s">
        <v>240</v>
      </c>
      <c r="B91" s="111" t="s">
        <v>26</v>
      </c>
      <c r="C91" s="112" t="s">
        <v>241</v>
      </c>
      <c r="D91" s="111" t="s">
        <v>204</v>
      </c>
      <c r="E91" s="110">
        <v>46372</v>
      </c>
      <c r="F91" s="110">
        <v>46387</v>
      </c>
      <c r="G91" s="160">
        <f>IF(OR(E91="",F91=""),"",NETWORKDAYS(E91,F91,Feriados!$A$2:$A$9))</f>
        <v>11</v>
      </c>
      <c r="H91" s="111" t="s">
        <v>4</v>
      </c>
      <c r="I91" s="111" t="s">
        <v>4</v>
      </c>
      <c r="J91" s="111" t="s">
        <v>23</v>
      </c>
      <c r="K91" s="112" t="s">
        <v>242</v>
      </c>
      <c r="L91" s="141" t="s">
        <v>112</v>
      </c>
    </row>
    <row r="92" spans="1:12" s="31" customFormat="1" outlineLevel="1">
      <c r="A92" s="113" t="s">
        <v>243</v>
      </c>
      <c r="B92" s="111" t="s">
        <v>26</v>
      </c>
      <c r="C92" s="187" t="s">
        <v>244</v>
      </c>
      <c r="D92" s="111" t="s">
        <v>204</v>
      </c>
      <c r="E92" s="110">
        <v>46372</v>
      </c>
      <c r="F92" s="110">
        <v>46387</v>
      </c>
      <c r="G92" s="160">
        <f>IF(OR(E92="",F92=""),"",NETWORKDAYS(E92,F92,Feriados!$A$2:$A$9))</f>
        <v>11</v>
      </c>
      <c r="H92" s="111" t="s">
        <v>4</v>
      </c>
      <c r="I92" s="111" t="s">
        <v>4</v>
      </c>
      <c r="J92" s="111" t="s">
        <v>23</v>
      </c>
      <c r="K92" s="112" t="s">
        <v>245</v>
      </c>
      <c r="L92" s="141" t="s">
        <v>112</v>
      </c>
    </row>
    <row r="93" spans="1:12" s="31" customFormat="1" ht="24" outlineLevel="1">
      <c r="A93" s="113" t="s">
        <v>246</v>
      </c>
      <c r="B93" s="111" t="s">
        <v>26</v>
      </c>
      <c r="C93" s="187" t="s">
        <v>247</v>
      </c>
      <c r="D93" s="112" t="s">
        <v>248</v>
      </c>
      <c r="E93" s="110">
        <v>46357</v>
      </c>
      <c r="F93" s="110">
        <v>46374</v>
      </c>
      <c r="G93" s="160">
        <f>IF(OR(E93="",F93=""),"",NETWORKDAYS(E93,F93,Feriados!$A$2:$A$9))</f>
        <v>14</v>
      </c>
      <c r="H93" s="111" t="s">
        <v>4</v>
      </c>
      <c r="I93" s="111" t="s">
        <v>4</v>
      </c>
      <c r="J93" s="111" t="s">
        <v>23</v>
      </c>
      <c r="K93" s="112" t="s">
        <v>249</v>
      </c>
      <c r="L93" s="141" t="s">
        <v>80</v>
      </c>
    </row>
    <row r="94" spans="1:12" s="31" customFormat="1" ht="24" outlineLevel="1">
      <c r="A94" s="107" t="s">
        <v>250</v>
      </c>
      <c r="B94" s="108" t="s">
        <v>26</v>
      </c>
      <c r="C94" s="153" t="s">
        <v>251</v>
      </c>
      <c r="D94" s="108" t="s">
        <v>204</v>
      </c>
      <c r="E94" s="110">
        <v>46329</v>
      </c>
      <c r="F94" s="110">
        <v>46339</v>
      </c>
      <c r="G94" s="160">
        <f>IF(OR(E94="",F94=""),"",NETWORKDAYS(E94,F94,Feriados!$A$2:$A$9))</f>
        <v>9</v>
      </c>
      <c r="H94" s="111" t="s">
        <v>4</v>
      </c>
      <c r="I94" s="111" t="s">
        <v>4</v>
      </c>
      <c r="J94" s="111" t="s">
        <v>23</v>
      </c>
      <c r="K94" s="112" t="s">
        <v>4</v>
      </c>
      <c r="L94" s="141" t="s">
        <v>112</v>
      </c>
    </row>
    <row r="95" spans="1:12" s="31" customFormat="1" ht="24" outlineLevel="1">
      <c r="A95" s="113" t="s">
        <v>252</v>
      </c>
      <c r="B95" s="111" t="s">
        <v>26</v>
      </c>
      <c r="C95" s="187" t="s">
        <v>253</v>
      </c>
      <c r="D95" s="111" t="s">
        <v>204</v>
      </c>
      <c r="E95" s="110">
        <v>46419</v>
      </c>
      <c r="F95" s="110">
        <v>46444</v>
      </c>
      <c r="G95" s="160">
        <f>IF(OR(E95="",F95=""),"",NETWORKDAYS(E95,F95,Feriados!$A$2:$A$9))</f>
        <v>18</v>
      </c>
      <c r="H95" s="111" t="s">
        <v>4</v>
      </c>
      <c r="I95" s="111" t="s">
        <v>4</v>
      </c>
      <c r="J95" s="111" t="s">
        <v>23</v>
      </c>
      <c r="K95" s="112" t="s">
        <v>254</v>
      </c>
      <c r="L95" s="141" t="s">
        <v>112</v>
      </c>
    </row>
    <row r="96" spans="1:12" s="31" customFormat="1" ht="24" outlineLevel="1">
      <c r="A96" s="113" t="s">
        <v>255</v>
      </c>
      <c r="B96" s="111" t="s">
        <v>26</v>
      </c>
      <c r="C96" s="187" t="s">
        <v>256</v>
      </c>
      <c r="D96" s="111" t="s">
        <v>207</v>
      </c>
      <c r="E96" s="110">
        <v>46419</v>
      </c>
      <c r="F96" s="110">
        <v>46444</v>
      </c>
      <c r="G96" s="160">
        <f>IF(OR(E96="",F96=""),"",NETWORKDAYS(E96,F96,Feriados!$A$2:$A$9))</f>
        <v>18</v>
      </c>
      <c r="H96" s="111" t="s">
        <v>4</v>
      </c>
      <c r="I96" s="161" t="s">
        <v>4</v>
      </c>
      <c r="J96" s="111" t="s">
        <v>23</v>
      </c>
      <c r="K96" s="112" t="s">
        <v>254</v>
      </c>
      <c r="L96" s="141" t="s">
        <v>112</v>
      </c>
    </row>
    <row r="97" spans="1:12" s="31" customFormat="1">
      <c r="A97" s="136">
        <v>6</v>
      </c>
      <c r="B97" s="137" t="s">
        <v>4</v>
      </c>
      <c r="C97" s="190" t="s">
        <v>257</v>
      </c>
      <c r="D97" s="137" t="s">
        <v>4</v>
      </c>
      <c r="E97" s="79">
        <f>MIN(E98:E106)</f>
        <v>46296</v>
      </c>
      <c r="F97" s="79">
        <f>MAX(F98:F106)</f>
        <v>46477</v>
      </c>
      <c r="G97" s="72">
        <f>IF(OR(E97="",F97=""),"",NETWORKDAYS(E97,F97,Feriados!$A$2:$A$9))</f>
        <v>123</v>
      </c>
      <c r="H97" s="137" t="s">
        <v>4</v>
      </c>
      <c r="I97" s="137" t="s">
        <v>4</v>
      </c>
      <c r="J97" s="137" t="s">
        <v>4</v>
      </c>
      <c r="K97" s="138" t="s">
        <v>4</v>
      </c>
      <c r="L97" s="139" t="s">
        <v>4</v>
      </c>
    </row>
    <row r="98" spans="1:12" ht="24" outlineLevel="1">
      <c r="A98" s="107" t="s">
        <v>258</v>
      </c>
      <c r="B98" s="108" t="s">
        <v>26</v>
      </c>
      <c r="C98" s="109" t="s">
        <v>259</v>
      </c>
      <c r="D98" s="108" t="s">
        <v>260</v>
      </c>
      <c r="E98" s="110">
        <v>46296</v>
      </c>
      <c r="F98" s="110">
        <v>46304</v>
      </c>
      <c r="G98" s="162">
        <f>IF(OR(E98="",F98=""),"",NETWORKDAYS(E98,F98,Feriados!$A$2:$A$9))</f>
        <v>7</v>
      </c>
      <c r="H98" s="143" t="s">
        <v>4</v>
      </c>
      <c r="I98" s="143" t="s">
        <v>4</v>
      </c>
      <c r="J98" s="143" t="s">
        <v>23</v>
      </c>
      <c r="K98" s="142" t="s">
        <v>4</v>
      </c>
      <c r="L98" s="119" t="s">
        <v>261</v>
      </c>
    </row>
    <row r="99" spans="1:12" ht="24" outlineLevel="1">
      <c r="A99" s="107" t="s">
        <v>262</v>
      </c>
      <c r="B99" s="108" t="s">
        <v>26</v>
      </c>
      <c r="C99" s="109" t="s">
        <v>263</v>
      </c>
      <c r="D99" s="108" t="s">
        <v>260</v>
      </c>
      <c r="E99" s="111"/>
      <c r="F99" s="111" t="s">
        <v>4</v>
      </c>
      <c r="G99" s="162" t="str">
        <f>IF(OR(E99="",F99=""),"",NETWORKDAYS(E99,F99,Feriados!$A$2:$A$9))</f>
        <v/>
      </c>
      <c r="H99" s="143" t="s">
        <v>4</v>
      </c>
      <c r="I99" s="143" t="s">
        <v>4</v>
      </c>
      <c r="J99" s="143" t="s">
        <v>23</v>
      </c>
      <c r="K99" s="112" t="s">
        <v>264</v>
      </c>
      <c r="L99" s="119" t="s">
        <v>261</v>
      </c>
    </row>
    <row r="100" spans="1:12" ht="24" outlineLevel="1">
      <c r="A100" s="107" t="s">
        <v>265</v>
      </c>
      <c r="B100" s="108" t="s">
        <v>4</v>
      </c>
      <c r="C100" s="109" t="s">
        <v>266</v>
      </c>
      <c r="D100" s="108" t="s">
        <v>260</v>
      </c>
      <c r="E100" s="110">
        <v>46329</v>
      </c>
      <c r="F100" s="110">
        <v>46339</v>
      </c>
      <c r="G100" s="162">
        <f>IF(OR(E100="",F100=""),"",NETWORKDAYS(E100,F100,Feriados!$A$2:$A$9))</f>
        <v>9</v>
      </c>
      <c r="H100" s="111" t="s">
        <v>4</v>
      </c>
      <c r="I100" s="111" t="s">
        <v>4</v>
      </c>
      <c r="J100" s="143" t="s">
        <v>23</v>
      </c>
      <c r="K100" s="112" t="s">
        <v>4</v>
      </c>
      <c r="L100" s="141" t="s">
        <v>261</v>
      </c>
    </row>
    <row r="101" spans="1:12" s="31" customFormat="1" ht="24" outlineLevel="1">
      <c r="A101" s="107" t="s">
        <v>267</v>
      </c>
      <c r="B101" s="108" t="s">
        <v>4</v>
      </c>
      <c r="C101" s="109" t="s">
        <v>268</v>
      </c>
      <c r="D101" s="108" t="s">
        <v>260</v>
      </c>
      <c r="E101" s="110">
        <v>46342</v>
      </c>
      <c r="F101" s="110">
        <v>46360</v>
      </c>
      <c r="G101" s="162">
        <f>IF(OR(E101="",F101=""),"",NETWORKDAYS(E101,F101,Feriados!$A$2:$A$9))</f>
        <v>14</v>
      </c>
      <c r="H101" s="111" t="s">
        <v>4</v>
      </c>
      <c r="I101" s="111" t="s">
        <v>4</v>
      </c>
      <c r="J101" s="143" t="s">
        <v>23</v>
      </c>
      <c r="K101" s="112" t="s">
        <v>269</v>
      </c>
      <c r="L101" s="141" t="s">
        <v>261</v>
      </c>
    </row>
    <row r="102" spans="1:12" ht="24" outlineLevel="1">
      <c r="A102" s="160" t="s">
        <v>270</v>
      </c>
      <c r="B102" s="143" t="s">
        <v>26</v>
      </c>
      <c r="C102" s="142" t="s">
        <v>271</v>
      </c>
      <c r="D102" s="143" t="s">
        <v>260</v>
      </c>
      <c r="E102" s="110">
        <v>46342</v>
      </c>
      <c r="F102" s="110">
        <v>46360</v>
      </c>
      <c r="G102" s="162">
        <f>IF(OR(E102="",F102=""),"",NETWORKDAYS(E102,F102,Feriados!$A$2:$A$9))</f>
        <v>14</v>
      </c>
      <c r="H102" s="143" t="s">
        <v>4</v>
      </c>
      <c r="I102" s="143" t="s">
        <v>4</v>
      </c>
      <c r="J102" s="143" t="s">
        <v>23</v>
      </c>
      <c r="K102" s="142" t="s">
        <v>272</v>
      </c>
      <c r="L102" s="119" t="s">
        <v>261</v>
      </c>
    </row>
    <row r="103" spans="1:12" ht="24" outlineLevel="1">
      <c r="A103" s="160" t="s">
        <v>273</v>
      </c>
      <c r="B103" s="143" t="s">
        <v>26</v>
      </c>
      <c r="C103" s="142" t="s">
        <v>274</v>
      </c>
      <c r="D103" s="143" t="s">
        <v>260</v>
      </c>
      <c r="E103" s="110">
        <v>46357</v>
      </c>
      <c r="F103" s="110">
        <v>46387</v>
      </c>
      <c r="G103" s="162">
        <f>IF(OR(E103="",F103=""),"",NETWORKDAYS(E103,F103,Feriados!$A$2:$A$9))</f>
        <v>22</v>
      </c>
      <c r="H103" s="143" t="s">
        <v>4</v>
      </c>
      <c r="I103" s="143" t="s">
        <v>4</v>
      </c>
      <c r="J103" s="143" t="s">
        <v>23</v>
      </c>
      <c r="K103" s="142" t="s">
        <v>275</v>
      </c>
      <c r="L103" s="119" t="s">
        <v>261</v>
      </c>
    </row>
    <row r="104" spans="1:12" ht="36" outlineLevel="1">
      <c r="A104" s="107" t="s">
        <v>276</v>
      </c>
      <c r="B104" s="108" t="s">
        <v>20</v>
      </c>
      <c r="C104" s="109" t="s">
        <v>277</v>
      </c>
      <c r="D104" s="108" t="s">
        <v>260</v>
      </c>
      <c r="E104" s="110">
        <v>46327</v>
      </c>
      <c r="F104" s="110">
        <v>46477</v>
      </c>
      <c r="G104" s="162">
        <f>IF(OR(E104="",F104=""),"",NETWORKDAYS(E104,F104,Feriados!$A$2:$A$9))</f>
        <v>102</v>
      </c>
      <c r="H104" s="143" t="s">
        <v>4</v>
      </c>
      <c r="I104" s="143" t="s">
        <v>4</v>
      </c>
      <c r="J104" s="143" t="s">
        <v>23</v>
      </c>
      <c r="K104" s="142" t="s">
        <v>278</v>
      </c>
      <c r="L104" s="119" t="s">
        <v>261</v>
      </c>
    </row>
    <row r="105" spans="1:12" ht="24" outlineLevel="1">
      <c r="A105" s="160" t="s">
        <v>279</v>
      </c>
      <c r="B105" s="143" t="s">
        <v>26</v>
      </c>
      <c r="C105" s="142" t="s">
        <v>280</v>
      </c>
      <c r="D105" s="143" t="s">
        <v>260</v>
      </c>
      <c r="E105" s="110">
        <v>46357</v>
      </c>
      <c r="F105" s="110">
        <v>46387</v>
      </c>
      <c r="G105" s="162">
        <f>IF(OR(E105="",F105=""),"",NETWORKDAYS(E105,F105,Feriados!$A$2:$A$9))</f>
        <v>22</v>
      </c>
      <c r="H105" s="143" t="s">
        <v>4</v>
      </c>
      <c r="I105" s="143" t="s">
        <v>4</v>
      </c>
      <c r="J105" s="143" t="s">
        <v>23</v>
      </c>
      <c r="K105" s="142" t="s">
        <v>281</v>
      </c>
      <c r="L105" s="119" t="s">
        <v>261</v>
      </c>
    </row>
    <row r="106" spans="1:12" ht="24" outlineLevel="1">
      <c r="A106" s="160" t="s">
        <v>282</v>
      </c>
      <c r="B106" s="163" t="s">
        <v>283</v>
      </c>
      <c r="C106" s="164" t="s">
        <v>284</v>
      </c>
      <c r="D106" s="163" t="s">
        <v>260</v>
      </c>
      <c r="E106" s="105">
        <v>46388</v>
      </c>
      <c r="F106" s="105">
        <v>46402</v>
      </c>
      <c r="G106" s="162">
        <f>IF(OR(E106="",F106=""),"",NETWORKDAYS(E106,F106,Feriados!$A$2:$A$9))</f>
        <v>10</v>
      </c>
      <c r="H106" s="163" t="s">
        <v>4</v>
      </c>
      <c r="I106" s="163" t="s">
        <v>4</v>
      </c>
      <c r="J106" s="163" t="s">
        <v>23</v>
      </c>
      <c r="K106" s="164" t="s">
        <v>285</v>
      </c>
      <c r="L106" s="119" t="s">
        <v>261</v>
      </c>
    </row>
    <row r="107" spans="1:12" s="31" customFormat="1">
      <c r="A107" s="136">
        <v>7</v>
      </c>
      <c r="B107" s="137" t="s">
        <v>4</v>
      </c>
      <c r="C107" s="137" t="s">
        <v>286</v>
      </c>
      <c r="D107" s="137" t="s">
        <v>4</v>
      </c>
      <c r="E107" s="79">
        <f>MIN(E108:E124)</f>
        <v>46275</v>
      </c>
      <c r="F107" s="79">
        <f>MAX(F108:F124)</f>
        <v>46418</v>
      </c>
      <c r="G107" s="72">
        <f>IF(OR(E107="",F107=""),"",NETWORKDAYS(E107,F107,Feriados!$A$2:$A$9))</f>
        <v>97</v>
      </c>
      <c r="H107" s="79">
        <f>MIN(H108:H124)</f>
        <v>46275</v>
      </c>
      <c r="I107" s="79">
        <f>MAX(I108:I124)</f>
        <v>46275</v>
      </c>
      <c r="J107" s="137" t="s">
        <v>4</v>
      </c>
      <c r="K107" s="138" t="s">
        <v>4</v>
      </c>
      <c r="L107" s="139" t="s">
        <v>4</v>
      </c>
    </row>
    <row r="108" spans="1:12" outlineLevel="1">
      <c r="A108" s="114" t="s">
        <v>287</v>
      </c>
      <c r="B108" s="115" t="s">
        <v>26</v>
      </c>
      <c r="C108" s="116" t="s">
        <v>288</v>
      </c>
      <c r="D108" s="115" t="s">
        <v>289</v>
      </c>
      <c r="E108" s="117">
        <v>46275</v>
      </c>
      <c r="F108" s="158">
        <v>46275</v>
      </c>
      <c r="G108" s="173">
        <f>IF(OR(E108="",F108=""),"",NETWORKDAYS(E108,F108,Feriados!$A$2:$A$9))</f>
        <v>1</v>
      </c>
      <c r="H108" s="145">
        <v>46275</v>
      </c>
      <c r="I108" s="145">
        <v>46275</v>
      </c>
      <c r="J108" s="165" t="s">
        <v>29</v>
      </c>
      <c r="K108" s="112" t="s">
        <v>4</v>
      </c>
      <c r="L108" s="119" t="s">
        <v>290</v>
      </c>
    </row>
    <row r="109" spans="1:12" s="31" customFormat="1" outlineLevel="1">
      <c r="A109" s="166" t="s">
        <v>291</v>
      </c>
      <c r="B109" s="167" t="s">
        <v>26</v>
      </c>
      <c r="C109" s="168" t="s">
        <v>292</v>
      </c>
      <c r="D109" s="167" t="s">
        <v>289</v>
      </c>
      <c r="E109" s="110">
        <v>46293</v>
      </c>
      <c r="F109" s="174">
        <v>46300</v>
      </c>
      <c r="G109" s="162">
        <f>IF(OR(E109="",F109=""),"",NETWORKDAYS(E109,F109,Feriados!$A$2:$A$9))</f>
        <v>6</v>
      </c>
      <c r="H109" s="143" t="s">
        <v>4</v>
      </c>
      <c r="I109" s="143" t="s">
        <v>4</v>
      </c>
      <c r="J109" s="143" t="s">
        <v>23</v>
      </c>
      <c r="K109" s="142" t="s">
        <v>4</v>
      </c>
      <c r="L109" s="119" t="s">
        <v>80</v>
      </c>
    </row>
    <row r="110" spans="1:12" outlineLevel="1">
      <c r="A110" s="140" t="s">
        <v>293</v>
      </c>
      <c r="B110" s="143" t="s">
        <v>26</v>
      </c>
      <c r="C110" s="142" t="s">
        <v>294</v>
      </c>
      <c r="D110" s="143" t="s">
        <v>289</v>
      </c>
      <c r="E110" s="110">
        <v>46304</v>
      </c>
      <c r="F110" s="110">
        <v>46311</v>
      </c>
      <c r="G110" s="162">
        <f>IF(OR(E110="",F110=""),"",NETWORKDAYS(E110,F110,Feriados!$A$2:$A$9))</f>
        <v>5</v>
      </c>
      <c r="H110" s="143" t="s">
        <v>4</v>
      </c>
      <c r="I110" s="143" t="s">
        <v>4</v>
      </c>
      <c r="J110" s="143" t="s">
        <v>23</v>
      </c>
      <c r="K110" s="112" t="s">
        <v>295</v>
      </c>
      <c r="L110" s="119" t="s">
        <v>296</v>
      </c>
    </row>
    <row r="111" spans="1:12" outlineLevel="1">
      <c r="A111" s="107" t="s">
        <v>297</v>
      </c>
      <c r="B111" s="108" t="s">
        <v>20</v>
      </c>
      <c r="C111" s="109" t="s">
        <v>298</v>
      </c>
      <c r="D111" s="108" t="s">
        <v>299</v>
      </c>
      <c r="E111" s="110">
        <v>46296</v>
      </c>
      <c r="F111" s="110">
        <v>46304</v>
      </c>
      <c r="G111" s="162">
        <f>IF(OR(E111="",F111=""),"",NETWORKDAYS(E111,F111,Feriados!$A$2:$A$9))</f>
        <v>7</v>
      </c>
      <c r="H111" s="111" t="s">
        <v>4</v>
      </c>
      <c r="I111" s="111" t="s">
        <v>4</v>
      </c>
      <c r="J111" s="111" t="s">
        <v>23</v>
      </c>
      <c r="K111" s="112" t="s">
        <v>4</v>
      </c>
      <c r="L111" s="119" t="s">
        <v>290</v>
      </c>
    </row>
    <row r="112" spans="1:12" outlineLevel="1">
      <c r="A112" s="107" t="s">
        <v>300</v>
      </c>
      <c r="B112" s="108" t="s">
        <v>26</v>
      </c>
      <c r="C112" s="109" t="s">
        <v>301</v>
      </c>
      <c r="D112" s="108" t="s">
        <v>289</v>
      </c>
      <c r="E112" s="110">
        <v>46296</v>
      </c>
      <c r="F112" s="110">
        <v>46304</v>
      </c>
      <c r="G112" s="162">
        <f>IF(OR(E112="",F112=""),"",NETWORKDAYS(E112,F112,Feriados!$A$2:$A$9))</f>
        <v>7</v>
      </c>
      <c r="H112" s="111" t="s">
        <v>4</v>
      </c>
      <c r="I112" s="111" t="s">
        <v>4</v>
      </c>
      <c r="J112" s="111" t="s">
        <v>23</v>
      </c>
      <c r="K112" s="112" t="s">
        <v>4</v>
      </c>
      <c r="L112" s="119" t="s">
        <v>290</v>
      </c>
    </row>
    <row r="113" spans="1:12" outlineLevel="1">
      <c r="A113" s="107" t="s">
        <v>302</v>
      </c>
      <c r="B113" s="108" t="s">
        <v>26</v>
      </c>
      <c r="C113" s="109" t="s">
        <v>303</v>
      </c>
      <c r="D113" s="108" t="s">
        <v>289</v>
      </c>
      <c r="E113" s="110">
        <v>46293</v>
      </c>
      <c r="F113" s="110">
        <v>46311</v>
      </c>
      <c r="G113" s="162">
        <f>IF(OR(E113="",F113=""),"",NETWORKDAYS(E113,F113,Feriados!$A$2:$A$9))</f>
        <v>14</v>
      </c>
      <c r="H113" s="143" t="s">
        <v>4</v>
      </c>
      <c r="I113" s="143" t="s">
        <v>4</v>
      </c>
      <c r="J113" s="143" t="s">
        <v>23</v>
      </c>
      <c r="K113" s="142" t="s">
        <v>4</v>
      </c>
      <c r="L113" s="119" t="s">
        <v>290</v>
      </c>
    </row>
    <row r="114" spans="1:12" outlineLevel="1">
      <c r="A114" s="107" t="s">
        <v>304</v>
      </c>
      <c r="B114" s="108" t="s">
        <v>26</v>
      </c>
      <c r="C114" s="109" t="s">
        <v>305</v>
      </c>
      <c r="D114" s="108" t="s">
        <v>289</v>
      </c>
      <c r="E114" s="110">
        <v>46311</v>
      </c>
      <c r="F114" s="110">
        <v>46311</v>
      </c>
      <c r="G114" s="162">
        <f>IF(OR(E114="",F114=""),"",NETWORKDAYS(E114,F114,Feriados!$A$2:$A$9))</f>
        <v>1</v>
      </c>
      <c r="H114" s="143" t="s">
        <v>4</v>
      </c>
      <c r="I114" s="143" t="s">
        <v>4</v>
      </c>
      <c r="J114" s="143" t="s">
        <v>23</v>
      </c>
      <c r="K114" s="142" t="s">
        <v>4</v>
      </c>
      <c r="L114" s="119" t="s">
        <v>290</v>
      </c>
    </row>
    <row r="115" spans="1:12" outlineLevel="1">
      <c r="A115" s="107" t="s">
        <v>306</v>
      </c>
      <c r="B115" s="108" t="s">
        <v>26</v>
      </c>
      <c r="C115" s="109" t="s">
        <v>307</v>
      </c>
      <c r="D115" s="108" t="s">
        <v>289</v>
      </c>
      <c r="E115" s="110">
        <v>46328</v>
      </c>
      <c r="F115" s="110">
        <v>46356</v>
      </c>
      <c r="G115" s="162">
        <f>IF(OR(E115="",F115=""),"",NETWORKDAYS(E115,F115,Feriados!$A$2:$A$9))</f>
        <v>19</v>
      </c>
      <c r="H115" s="143" t="s">
        <v>4</v>
      </c>
      <c r="I115" s="143" t="s">
        <v>4</v>
      </c>
      <c r="J115" s="143" t="s">
        <v>23</v>
      </c>
      <c r="K115" s="142" t="s">
        <v>308</v>
      </c>
      <c r="L115" s="119" t="s">
        <v>290</v>
      </c>
    </row>
    <row r="116" spans="1:12" outlineLevel="1">
      <c r="A116" s="107" t="s">
        <v>309</v>
      </c>
      <c r="B116" s="108" t="s">
        <v>4</v>
      </c>
      <c r="C116" s="109" t="s">
        <v>310</v>
      </c>
      <c r="D116" s="108" t="s">
        <v>289</v>
      </c>
      <c r="E116" s="110">
        <v>46327</v>
      </c>
      <c r="F116" s="110">
        <v>46356</v>
      </c>
      <c r="G116" s="162">
        <f>IF(OR(E116="",F116=""),"",NETWORKDAYS(E116,F116,Feriados!$A$2:$A$9))</f>
        <v>19</v>
      </c>
      <c r="H116" s="143" t="s">
        <v>4</v>
      </c>
      <c r="I116" s="143" t="s">
        <v>4</v>
      </c>
      <c r="J116" s="143" t="s">
        <v>23</v>
      </c>
      <c r="K116" s="142" t="s">
        <v>311</v>
      </c>
      <c r="L116" s="119" t="s">
        <v>290</v>
      </c>
    </row>
    <row r="117" spans="1:12" outlineLevel="1">
      <c r="A117" s="107" t="s">
        <v>312</v>
      </c>
      <c r="B117" s="108" t="s">
        <v>20</v>
      </c>
      <c r="C117" s="109" t="s">
        <v>313</v>
      </c>
      <c r="D117" s="108" t="s">
        <v>289</v>
      </c>
      <c r="E117" s="110">
        <v>46357</v>
      </c>
      <c r="F117" s="110">
        <v>46387</v>
      </c>
      <c r="G117" s="162">
        <f>IF(OR(E117="",F117=""),"",NETWORKDAYS(E117,F117,Feriados!$A$2:$A$9))</f>
        <v>22</v>
      </c>
      <c r="H117" s="143" t="s">
        <v>4</v>
      </c>
      <c r="I117" s="143" t="s">
        <v>4</v>
      </c>
      <c r="J117" s="143" t="s">
        <v>23</v>
      </c>
      <c r="K117" s="142" t="s">
        <v>314</v>
      </c>
      <c r="L117" s="119" t="s">
        <v>290</v>
      </c>
    </row>
    <row r="118" spans="1:12" outlineLevel="1">
      <c r="A118" s="107" t="s">
        <v>315</v>
      </c>
      <c r="B118" s="156" t="s">
        <v>26</v>
      </c>
      <c r="C118" s="169" t="s">
        <v>316</v>
      </c>
      <c r="D118" s="143" t="s">
        <v>289</v>
      </c>
      <c r="E118" s="110">
        <v>46327</v>
      </c>
      <c r="F118" s="110">
        <v>46418</v>
      </c>
      <c r="G118" s="162">
        <f>IF(OR(E118="",F118=""),"",NETWORKDAYS(E118,F118,Feriados!$A$2:$A$9))</f>
        <v>61</v>
      </c>
      <c r="H118" s="143" t="s">
        <v>4</v>
      </c>
      <c r="I118" s="143" t="s">
        <v>4</v>
      </c>
      <c r="J118" s="143" t="s">
        <v>23</v>
      </c>
      <c r="K118" s="142" t="s">
        <v>317</v>
      </c>
      <c r="L118" s="119" t="s">
        <v>290</v>
      </c>
    </row>
    <row r="119" spans="1:12" outlineLevel="1">
      <c r="A119" s="107" t="s">
        <v>318</v>
      </c>
      <c r="B119" s="108" t="s">
        <v>26</v>
      </c>
      <c r="C119" s="109" t="s">
        <v>319</v>
      </c>
      <c r="D119" s="108" t="s">
        <v>289</v>
      </c>
      <c r="E119" s="110">
        <v>46304</v>
      </c>
      <c r="F119" s="110">
        <v>46304</v>
      </c>
      <c r="G119" s="162">
        <f>IF(OR(E119="",F119=""),"",NETWORKDAYS(E119,F119,Feriados!$A$2:$A$9))</f>
        <v>1</v>
      </c>
      <c r="H119" s="111" t="s">
        <v>4</v>
      </c>
      <c r="I119" s="111" t="s">
        <v>4</v>
      </c>
      <c r="J119" s="111" t="s">
        <v>23</v>
      </c>
      <c r="K119" s="112" t="s">
        <v>4</v>
      </c>
      <c r="L119" s="119" t="s">
        <v>296</v>
      </c>
    </row>
    <row r="120" spans="1:12" outlineLevel="1">
      <c r="A120" s="160" t="s">
        <v>320</v>
      </c>
      <c r="B120" s="111" t="s">
        <v>26</v>
      </c>
      <c r="C120" s="112" t="s">
        <v>321</v>
      </c>
      <c r="D120" s="111" t="s">
        <v>70</v>
      </c>
      <c r="E120" s="110">
        <v>46391</v>
      </c>
      <c r="F120" s="110">
        <v>46402</v>
      </c>
      <c r="G120" s="162">
        <f>IF(OR(E120="",F120=""),"",NETWORKDAYS(E120,F120,Feriados!$A$2:$A$9))</f>
        <v>10</v>
      </c>
      <c r="H120" s="111" t="s">
        <v>4</v>
      </c>
      <c r="I120" s="111" t="s">
        <v>4</v>
      </c>
      <c r="J120" s="111" t="s">
        <v>23</v>
      </c>
      <c r="K120" s="112" t="s">
        <v>4</v>
      </c>
      <c r="L120" s="119" t="s">
        <v>56</v>
      </c>
    </row>
    <row r="121" spans="1:12" outlineLevel="1">
      <c r="A121" s="160" t="s">
        <v>322</v>
      </c>
      <c r="B121" s="143" t="s">
        <v>26</v>
      </c>
      <c r="C121" s="187" t="s">
        <v>323</v>
      </c>
      <c r="D121" s="143" t="s">
        <v>125</v>
      </c>
      <c r="E121" s="110">
        <v>46296</v>
      </c>
      <c r="F121" s="110">
        <v>46325</v>
      </c>
      <c r="G121" s="162">
        <f>IF(OR(E121="",F121=""),"",NETWORKDAYS(E121,F121,Feriados!$A$2:$A$9))</f>
        <v>21</v>
      </c>
      <c r="H121" s="143" t="s">
        <v>4</v>
      </c>
      <c r="I121" s="143" t="s">
        <v>4</v>
      </c>
      <c r="J121" s="143" t="s">
        <v>23</v>
      </c>
      <c r="K121" s="112" t="s">
        <v>4</v>
      </c>
      <c r="L121" s="119" t="s">
        <v>296</v>
      </c>
    </row>
    <row r="122" spans="1:12" outlineLevel="1">
      <c r="A122" s="107" t="s">
        <v>324</v>
      </c>
      <c r="B122" s="108" t="s">
        <v>26</v>
      </c>
      <c r="C122" s="109" t="s">
        <v>325</v>
      </c>
      <c r="D122" s="108" t="s">
        <v>326</v>
      </c>
      <c r="E122" s="110">
        <v>46372</v>
      </c>
      <c r="F122" s="110">
        <v>46386</v>
      </c>
      <c r="G122" s="162">
        <f>IF(OR(E122="",F122=""),"",NETWORKDAYS(E122,F122,Feriados!$A$2:$A$9))</f>
        <v>10</v>
      </c>
      <c r="H122" s="111" t="s">
        <v>4</v>
      </c>
      <c r="I122" s="111" t="s">
        <v>4</v>
      </c>
      <c r="J122" s="111" t="s">
        <v>23</v>
      </c>
      <c r="K122" s="112" t="s">
        <v>327</v>
      </c>
      <c r="L122" s="119" t="s">
        <v>296</v>
      </c>
    </row>
    <row r="123" spans="1:12" outlineLevel="1">
      <c r="A123" s="170" t="s">
        <v>328</v>
      </c>
      <c r="B123" s="103" t="s">
        <v>20</v>
      </c>
      <c r="C123" s="189" t="s">
        <v>329</v>
      </c>
      <c r="D123" s="103" t="s">
        <v>289</v>
      </c>
      <c r="E123" s="105">
        <v>46293</v>
      </c>
      <c r="F123" s="105">
        <v>46386</v>
      </c>
      <c r="G123" s="162">
        <f>IF(OR(E123="",F123=""),"",NETWORKDAYS(E123,F123,Feriados!$A$2:$A$9))</f>
        <v>64</v>
      </c>
      <c r="H123" s="103" t="s">
        <v>4</v>
      </c>
      <c r="I123" s="103" t="s">
        <v>4</v>
      </c>
      <c r="J123" s="103" t="s">
        <v>23</v>
      </c>
      <c r="K123" s="104" t="s">
        <v>4</v>
      </c>
      <c r="L123" s="119" t="s">
        <v>296</v>
      </c>
    </row>
    <row r="124" spans="1:12" outlineLevel="1">
      <c r="A124" s="170" t="s">
        <v>330</v>
      </c>
      <c r="B124" s="103" t="s">
        <v>20</v>
      </c>
      <c r="C124" s="189" t="s">
        <v>331</v>
      </c>
      <c r="D124" s="103" t="s">
        <v>326</v>
      </c>
      <c r="E124" s="105">
        <v>46307</v>
      </c>
      <c r="F124" s="105">
        <v>46386</v>
      </c>
      <c r="G124" s="162">
        <f>IF(OR(E124="",F124=""),"",NETWORKDAYS(E124,F124,Feriados!$A$2:$A$9))</f>
        <v>54</v>
      </c>
      <c r="H124" s="103" t="s">
        <v>4</v>
      </c>
      <c r="I124" s="103" t="s">
        <v>4</v>
      </c>
      <c r="J124" s="103" t="s">
        <v>23</v>
      </c>
      <c r="K124" s="104" t="s">
        <v>4</v>
      </c>
      <c r="L124" s="119" t="s">
        <v>296</v>
      </c>
    </row>
    <row r="125" spans="1:12">
      <c r="A125" s="136">
        <v>8</v>
      </c>
      <c r="B125" s="137" t="s">
        <v>4</v>
      </c>
      <c r="C125" s="137" t="s">
        <v>332</v>
      </c>
      <c r="D125" s="137" t="s">
        <v>4</v>
      </c>
      <c r="E125" s="79">
        <f>MIN(E126:E128)</f>
        <v>46308</v>
      </c>
      <c r="F125" s="79">
        <f>MAX(F126:F128)</f>
        <v>46329</v>
      </c>
      <c r="G125" s="171">
        <f>IF(OR(E125="",F125=""),"",NETWORKDAYS(E125,F125,Feriados!$A$2:$A$9))</f>
        <v>15</v>
      </c>
      <c r="H125" s="137" t="s">
        <v>4</v>
      </c>
      <c r="I125" s="137" t="s">
        <v>4</v>
      </c>
      <c r="J125" s="137" t="s">
        <v>4</v>
      </c>
      <c r="K125" s="138" t="s">
        <v>4</v>
      </c>
      <c r="L125" s="139" t="s">
        <v>4</v>
      </c>
    </row>
    <row r="126" spans="1:12" outlineLevel="1">
      <c r="A126" s="107" t="s">
        <v>333</v>
      </c>
      <c r="B126" s="108" t="s">
        <v>26</v>
      </c>
      <c r="C126" s="153" t="s">
        <v>334</v>
      </c>
      <c r="D126" s="108" t="s">
        <v>335</v>
      </c>
      <c r="E126" s="110">
        <v>46308</v>
      </c>
      <c r="F126" s="110">
        <v>46325</v>
      </c>
      <c r="G126" s="162">
        <f>IF(OR(E126="",F126=""),"",NETWORKDAYS(E126,F126,Feriados!$A$2:$A$9))</f>
        <v>14</v>
      </c>
      <c r="H126" s="111" t="s">
        <v>4</v>
      </c>
      <c r="I126" s="111" t="s">
        <v>4</v>
      </c>
      <c r="J126" s="111" t="s">
        <v>23</v>
      </c>
      <c r="K126" s="112" t="s">
        <v>4</v>
      </c>
      <c r="L126" s="119" t="s">
        <v>181</v>
      </c>
    </row>
    <row r="127" spans="1:12" outlineLevel="1">
      <c r="A127" s="107" t="s">
        <v>336</v>
      </c>
      <c r="B127" s="108" t="s">
        <v>26</v>
      </c>
      <c r="C127" s="109" t="s">
        <v>337</v>
      </c>
      <c r="D127" s="108" t="s">
        <v>289</v>
      </c>
      <c r="E127" s="110">
        <v>46308</v>
      </c>
      <c r="F127" s="110">
        <v>46325</v>
      </c>
      <c r="G127" s="162">
        <f>IF(OR(E127="",F127=""),"",NETWORKDAYS(E127,F127,Feriados!$A$2:$A$9))</f>
        <v>14</v>
      </c>
      <c r="H127" s="111" t="s">
        <v>4</v>
      </c>
      <c r="I127" s="111" t="s">
        <v>4</v>
      </c>
      <c r="J127" s="111" t="s">
        <v>23</v>
      </c>
      <c r="K127" s="112" t="s">
        <v>338</v>
      </c>
      <c r="L127" s="119" t="s">
        <v>181</v>
      </c>
    </row>
    <row r="128" spans="1:12" outlineLevel="1">
      <c r="A128" s="107" t="s">
        <v>339</v>
      </c>
      <c r="B128" s="108" t="s">
        <v>26</v>
      </c>
      <c r="C128" s="109" t="s">
        <v>340</v>
      </c>
      <c r="D128" s="108" t="s">
        <v>335</v>
      </c>
      <c r="E128" s="110">
        <v>46329</v>
      </c>
      <c r="F128" s="110">
        <v>46329</v>
      </c>
      <c r="G128" s="162">
        <f>IF(OR(E128="",F128=""),"",NETWORKDAYS(E128,F128,Feriados!$A$2:$A$9))</f>
        <v>1</v>
      </c>
      <c r="H128" s="111" t="s">
        <v>4</v>
      </c>
      <c r="I128" s="111" t="s">
        <v>4</v>
      </c>
      <c r="J128" s="111" t="s">
        <v>23</v>
      </c>
      <c r="K128" s="112" t="s">
        <v>4</v>
      </c>
      <c r="L128" s="119" t="s">
        <v>181</v>
      </c>
    </row>
    <row r="129" spans="1:12">
      <c r="A129" s="136">
        <v>9</v>
      </c>
      <c r="B129" s="137" t="s">
        <v>4</v>
      </c>
      <c r="C129" s="190" t="s">
        <v>341</v>
      </c>
      <c r="D129" s="137" t="s">
        <v>4</v>
      </c>
      <c r="E129" s="79">
        <f>MIN(E130:E132)</f>
        <v>46308</v>
      </c>
      <c r="F129" s="79">
        <f>MAX(F130:F132)</f>
        <v>46356</v>
      </c>
      <c r="G129" s="171">
        <f>IF(OR(E129="",F129=""),"",NETWORKDAYS(E129,F129,Feriados!$A$2:$A$9))</f>
        <v>33</v>
      </c>
      <c r="H129" s="137" t="s">
        <v>4</v>
      </c>
      <c r="I129" s="137" t="s">
        <v>4</v>
      </c>
      <c r="J129" s="137" t="s">
        <v>4</v>
      </c>
      <c r="K129" s="138" t="s">
        <v>4</v>
      </c>
      <c r="L129" s="139" t="s">
        <v>4</v>
      </c>
    </row>
    <row r="130" spans="1:12" ht="24" outlineLevel="1">
      <c r="A130" s="108" t="s">
        <v>342</v>
      </c>
      <c r="B130" s="108" t="s">
        <v>26</v>
      </c>
      <c r="C130" s="187" t="s">
        <v>343</v>
      </c>
      <c r="D130" s="108" t="s">
        <v>344</v>
      </c>
      <c r="E130" s="110">
        <v>46308</v>
      </c>
      <c r="F130" s="110">
        <v>46311</v>
      </c>
      <c r="G130" s="162">
        <f>IF(OR(E130="",F130=""),"",NETWORKDAYS(E130,F130,Feriados!$A$2:$A$9))</f>
        <v>4</v>
      </c>
      <c r="H130" s="111" t="s">
        <v>4</v>
      </c>
      <c r="I130" s="111" t="s">
        <v>4</v>
      </c>
      <c r="J130" s="111" t="s">
        <v>23</v>
      </c>
      <c r="K130" s="112" t="s">
        <v>345</v>
      </c>
      <c r="L130" s="119" t="s">
        <v>346</v>
      </c>
    </row>
    <row r="131" spans="1:12" outlineLevel="1">
      <c r="A131" s="108" t="s">
        <v>347</v>
      </c>
      <c r="B131" s="108" t="s">
        <v>26</v>
      </c>
      <c r="C131" s="187" t="s">
        <v>348</v>
      </c>
      <c r="D131" s="108" t="s">
        <v>349</v>
      </c>
      <c r="E131" s="110">
        <v>46316</v>
      </c>
      <c r="F131" s="110">
        <v>46325</v>
      </c>
      <c r="G131" s="162">
        <f>IF(OR(E131="",F131=""),"",NETWORKDAYS(E131,F131,Feriados!$A$2:$A$9))</f>
        <v>8</v>
      </c>
      <c r="H131" s="111" t="s">
        <v>4</v>
      </c>
      <c r="I131" s="111" t="s">
        <v>4</v>
      </c>
      <c r="J131" s="111" t="s">
        <v>23</v>
      </c>
      <c r="K131" s="112" t="s">
        <v>4</v>
      </c>
      <c r="L131" s="119" t="s">
        <v>4</v>
      </c>
    </row>
    <row r="132" spans="1:12" ht="24" outlineLevel="1">
      <c r="A132" s="108" t="s">
        <v>350</v>
      </c>
      <c r="B132" s="108" t="s">
        <v>26</v>
      </c>
      <c r="C132" s="187" t="s">
        <v>351</v>
      </c>
      <c r="D132" s="108" t="s">
        <v>352</v>
      </c>
      <c r="E132" s="110">
        <v>46335</v>
      </c>
      <c r="F132" s="110">
        <v>46356</v>
      </c>
      <c r="G132" s="162">
        <f>IF(OR(E132="",F132=""),"",NETWORKDAYS(E132,F132,Feriados!$A$2:$A$9))</f>
        <v>15</v>
      </c>
      <c r="H132" s="111" t="s">
        <v>4</v>
      </c>
      <c r="I132" s="111" t="s">
        <v>4</v>
      </c>
      <c r="J132" s="111" t="s">
        <v>23</v>
      </c>
      <c r="K132" s="112" t="s">
        <v>353</v>
      </c>
      <c r="L132" s="119" t="s">
        <v>346</v>
      </c>
    </row>
    <row r="133" spans="1:12">
      <c r="A133" s="22"/>
      <c r="B133" s="22"/>
      <c r="C133" s="22"/>
      <c r="D133" s="22"/>
      <c r="E133" s="22"/>
      <c r="F133" s="22"/>
      <c r="G133" s="64"/>
      <c r="H133" s="22"/>
      <c r="I133" s="22"/>
      <c r="J133" s="22"/>
      <c r="K133" s="100"/>
      <c r="L133" s="98"/>
    </row>
  </sheetData>
  <autoFilter ref="A5:L5" xr:uid="{366051C6-2F32-456F-9D1E-8EB7D6DC3B84}"/>
  <mergeCells count="1">
    <mergeCell ref="H4:I4"/>
  </mergeCells>
  <conditionalFormatting sqref="F7 F97:F104">
    <cfRule type="cellIs" dxfId="13" priority="16" operator="lessThan">
      <formula>TODAY()</formula>
    </cfRule>
  </conditionalFormatting>
  <conditionalFormatting sqref="F7 F107 F97 F77 I77">
    <cfRule type="expression" dxfId="12" priority="15">
      <formula>J7="Concluído"</formula>
    </cfRule>
  </conditionalFormatting>
  <conditionalFormatting sqref="F20">
    <cfRule type="cellIs" dxfId="11" priority="14" operator="lessThan">
      <formula>TODAY()</formula>
    </cfRule>
  </conditionalFormatting>
  <conditionalFormatting sqref="F20">
    <cfRule type="expression" dxfId="10" priority="13">
      <formula>J20="Concluído"</formula>
    </cfRule>
  </conditionalFormatting>
  <conditionalFormatting sqref="F63">
    <cfRule type="cellIs" dxfId="9" priority="12" operator="lessThan">
      <formula>TODAY()</formula>
    </cfRule>
  </conditionalFormatting>
  <conditionalFormatting sqref="F63">
    <cfRule type="expression" dxfId="8" priority="11">
      <formula>J63="Concluído"</formula>
    </cfRule>
  </conditionalFormatting>
  <conditionalFormatting sqref="F68">
    <cfRule type="cellIs" dxfId="7" priority="10" operator="lessThan">
      <formula>TODAY()</formula>
    </cfRule>
  </conditionalFormatting>
  <conditionalFormatting sqref="F68">
    <cfRule type="expression" dxfId="6" priority="9">
      <formula>J68="Concluído"</formula>
    </cfRule>
  </conditionalFormatting>
  <dataValidations count="1">
    <dataValidation type="list" allowBlank="1" showInputMessage="1" showErrorMessage="1" sqref="J7:J132" xr:uid="{5D2F3CC3-9763-4429-A8FD-BBC0BB6A56F2}">
      <formula1>"Não Iniciado, Em andamento, Concluído, Abortada, Paralisada"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51C6-2F32-456F-9D1E-8EB7D6DC3B84}">
  <dimension ref="A1:L137"/>
  <sheetViews>
    <sheetView workbookViewId="0">
      <pane ySplit="1" topLeftCell="A11" activePane="bottomLeft" state="frozen"/>
      <selection pane="bottomLeft" activeCell="G21" sqref="G21"/>
    </sheetView>
  </sheetViews>
  <sheetFormatPr defaultColWidth="8.7109375" defaultRowHeight="15" outlineLevelRow="1"/>
  <cols>
    <col min="1" max="1" width="6" style="73" customWidth="1"/>
    <col min="2" max="2" width="8.5703125" style="73" customWidth="1"/>
    <col min="3" max="3" width="83.140625" style="23" customWidth="1"/>
    <col min="4" max="4" width="34.28515625" style="23" customWidth="1"/>
    <col min="5" max="5" width="10.42578125" style="20" bestFit="1" customWidth="1"/>
    <col min="6" max="6" width="11.42578125" style="20" bestFit="1" customWidth="1"/>
    <col min="7" max="7" width="11" style="23" customWidth="1"/>
    <col min="8" max="9" width="10.5703125" style="80" bestFit="1" customWidth="1"/>
    <col min="10" max="10" width="13.7109375" style="23" customWidth="1"/>
    <col min="11" max="11" width="89.28515625" style="23" bestFit="1" customWidth="1"/>
    <col min="12" max="12" width="21.7109375" style="23" bestFit="1" customWidth="1"/>
    <col min="13" max="16384" width="8.7109375" style="23"/>
  </cols>
  <sheetData>
    <row r="1" spans="1:12" ht="18" customHeight="1">
      <c r="A1" s="95" t="s">
        <v>0</v>
      </c>
      <c r="B1" s="61"/>
      <c r="C1" s="21"/>
      <c r="D1" s="22"/>
      <c r="E1" s="74"/>
      <c r="F1" s="74"/>
      <c r="G1" s="22"/>
      <c r="H1" s="74"/>
      <c r="I1" s="74"/>
      <c r="J1" s="22"/>
      <c r="K1" s="22"/>
    </row>
    <row r="2" spans="1:12">
      <c r="A2" s="96" t="s">
        <v>1</v>
      </c>
      <c r="B2" s="62"/>
      <c r="C2" s="24"/>
      <c r="D2" s="22"/>
      <c r="E2" s="74"/>
      <c r="F2" s="74"/>
      <c r="G2" s="22"/>
      <c r="H2" s="74"/>
      <c r="I2" s="74"/>
      <c r="J2" s="22"/>
      <c r="K2" s="22"/>
    </row>
    <row r="3" spans="1:12">
      <c r="A3" s="97" t="s">
        <v>2</v>
      </c>
      <c r="B3" s="63"/>
      <c r="C3" s="25"/>
      <c r="D3" s="45">
        <v>46290</v>
      </c>
      <c r="E3" s="74"/>
      <c r="F3" s="74"/>
      <c r="G3" s="22"/>
      <c r="H3" s="74"/>
      <c r="I3" s="74"/>
      <c r="J3" s="22"/>
      <c r="K3" s="22"/>
    </row>
    <row r="4" spans="1:12" ht="14.25" customHeight="1">
      <c r="A4" s="64"/>
      <c r="B4" s="64"/>
      <c r="C4" s="22"/>
      <c r="D4" s="22"/>
      <c r="E4" s="75" t="s">
        <v>3</v>
      </c>
      <c r="F4" s="75"/>
      <c r="G4" s="25"/>
      <c r="H4" s="180" t="s">
        <v>5</v>
      </c>
      <c r="I4" s="181"/>
      <c r="J4" s="25"/>
      <c r="K4" s="22"/>
    </row>
    <row r="5" spans="1:12">
      <c r="A5" s="82" t="s">
        <v>6</v>
      </c>
      <c r="B5" s="65" t="s">
        <v>7</v>
      </c>
      <c r="C5" s="26" t="s">
        <v>8</v>
      </c>
      <c r="D5" s="26" t="s">
        <v>9</v>
      </c>
      <c r="E5" s="76" t="s">
        <v>10</v>
      </c>
      <c r="F5" s="76" t="s">
        <v>11</v>
      </c>
      <c r="G5" s="26" t="s">
        <v>12</v>
      </c>
      <c r="H5" s="76" t="s">
        <v>10</v>
      </c>
      <c r="I5" s="94" t="s">
        <v>11</v>
      </c>
      <c r="J5" s="26" t="s">
        <v>13</v>
      </c>
      <c r="K5" s="26" t="s">
        <v>14</v>
      </c>
      <c r="L5" s="59" t="s">
        <v>15</v>
      </c>
    </row>
    <row r="6" spans="1:12">
      <c r="A6" s="83">
        <v>1</v>
      </c>
      <c r="B6" s="66" t="s">
        <v>26</v>
      </c>
      <c r="C6" s="27" t="s">
        <v>18</v>
      </c>
      <c r="D6" s="27" t="s">
        <v>4</v>
      </c>
      <c r="E6" s="77">
        <f>MIN(E7:E19)</f>
        <v>46286</v>
      </c>
      <c r="F6" s="77">
        <f>MAX(F7:F19)</f>
        <v>46304</v>
      </c>
      <c r="G6" s="27">
        <f>IF(OR(E6="",F6=""),"",NETWORKDAYS(E6,F6,Feriados!$A$2:$A$9))</f>
        <v>15</v>
      </c>
      <c r="H6" s="77">
        <f>MIN(H7:H19)</f>
        <v>46288</v>
      </c>
      <c r="I6" s="77">
        <f>MAX(I7:I19)</f>
        <v>46297</v>
      </c>
      <c r="J6" s="27" t="s">
        <v>4</v>
      </c>
      <c r="K6" s="52" t="s">
        <v>4</v>
      </c>
      <c r="L6" s="60"/>
    </row>
    <row r="7" spans="1:12" s="31" customFormat="1" outlineLevel="1">
      <c r="A7" s="84" t="s">
        <v>19</v>
      </c>
      <c r="B7" s="67" t="s">
        <v>20</v>
      </c>
      <c r="C7" s="28" t="s">
        <v>21</v>
      </c>
      <c r="D7" s="29" t="s">
        <v>22</v>
      </c>
      <c r="E7" s="30">
        <v>46296</v>
      </c>
      <c r="F7" s="30">
        <v>46304</v>
      </c>
      <c r="G7" s="29">
        <f>IF(OR(E7="",F7=""),"",NETWORKDAYS(E7,F7,Feriados!$A$2:$A$9))</f>
        <v>7</v>
      </c>
      <c r="H7" s="30" t="s">
        <v>4</v>
      </c>
      <c r="I7" s="30" t="s">
        <v>4</v>
      </c>
      <c r="J7" s="29" t="s">
        <v>23</v>
      </c>
      <c r="K7" s="53" t="s">
        <v>4</v>
      </c>
      <c r="L7" s="51" t="s">
        <v>24</v>
      </c>
    </row>
    <row r="8" spans="1:12" outlineLevel="1">
      <c r="A8" s="85" t="s">
        <v>25</v>
      </c>
      <c r="B8" s="68" t="s">
        <v>26</v>
      </c>
      <c r="C8" s="40" t="s">
        <v>27</v>
      </c>
      <c r="D8" s="41" t="s">
        <v>28</v>
      </c>
      <c r="E8" s="42">
        <v>46290</v>
      </c>
      <c r="F8" s="42">
        <v>46290</v>
      </c>
      <c r="G8" s="41">
        <f>IF(OR(E8="",F8=""),"",NETWORKDAYS(E8,F8,Feriados!$A$2:$A$9))</f>
        <v>1</v>
      </c>
      <c r="H8" s="42">
        <v>46290</v>
      </c>
      <c r="I8" s="42">
        <v>46290</v>
      </c>
      <c r="J8" s="41" t="s">
        <v>29</v>
      </c>
      <c r="K8" s="54" t="s">
        <v>4</v>
      </c>
      <c r="L8" s="46" t="s">
        <v>24</v>
      </c>
    </row>
    <row r="9" spans="1:12" outlineLevel="1">
      <c r="A9" s="86" t="s">
        <v>30</v>
      </c>
      <c r="B9" s="69" t="s">
        <v>20</v>
      </c>
      <c r="C9" s="32" t="s">
        <v>31</v>
      </c>
      <c r="D9" s="33" t="s">
        <v>28</v>
      </c>
      <c r="E9" s="78">
        <v>46286</v>
      </c>
      <c r="F9" s="78">
        <v>46304</v>
      </c>
      <c r="G9" s="33">
        <f>IF(OR(E9="",F9=""),"",NETWORKDAYS(E9,F9,Feriados!$A$2:$A$9))</f>
        <v>15</v>
      </c>
      <c r="H9" s="78" t="s">
        <v>4</v>
      </c>
      <c r="I9" s="78" t="s">
        <v>4</v>
      </c>
      <c r="J9" s="33" t="s">
        <v>23</v>
      </c>
      <c r="K9" s="54" t="s">
        <v>4</v>
      </c>
      <c r="L9" s="46" t="s">
        <v>24</v>
      </c>
    </row>
    <row r="10" spans="1:12" s="31" customFormat="1" ht="24" outlineLevel="1">
      <c r="A10" s="84" t="s">
        <v>32</v>
      </c>
      <c r="B10" s="67" t="s">
        <v>26</v>
      </c>
      <c r="C10" s="28" t="s">
        <v>33</v>
      </c>
      <c r="D10" s="29" t="s">
        <v>125</v>
      </c>
      <c r="E10" s="30">
        <v>46296</v>
      </c>
      <c r="F10" s="30">
        <v>46304</v>
      </c>
      <c r="G10" s="29">
        <f>IF(OR(E10="",F10=""),"",NETWORKDAYS(E10,F10,Feriados!$A$2:$A$9))</f>
        <v>7</v>
      </c>
      <c r="H10" s="30" t="s">
        <v>4</v>
      </c>
      <c r="I10" s="30" t="s">
        <v>4</v>
      </c>
      <c r="J10" s="29" t="s">
        <v>23</v>
      </c>
      <c r="K10" s="53" t="s">
        <v>34</v>
      </c>
      <c r="L10" s="51" t="s">
        <v>24</v>
      </c>
    </row>
    <row r="11" spans="1:12" outlineLevel="1">
      <c r="A11" s="85" t="s">
        <v>35</v>
      </c>
      <c r="B11" s="68" t="s">
        <v>26</v>
      </c>
      <c r="C11" s="40" t="s">
        <v>36</v>
      </c>
      <c r="D11" s="41" t="s">
        <v>28</v>
      </c>
      <c r="E11" s="42">
        <v>46288</v>
      </c>
      <c r="F11" s="42">
        <v>46288</v>
      </c>
      <c r="G11" s="41">
        <f>IF(OR(E11="",F11=""),"",NETWORKDAYS(E11,F11,Feriados!$A$2:$A$9))</f>
        <v>1</v>
      </c>
      <c r="H11" s="42">
        <v>46288</v>
      </c>
      <c r="I11" s="81">
        <v>46288</v>
      </c>
      <c r="J11" s="41" t="s">
        <v>29</v>
      </c>
      <c r="K11" s="54" t="s">
        <v>4</v>
      </c>
      <c r="L11" s="51" t="s">
        <v>24</v>
      </c>
    </row>
    <row r="12" spans="1:12" outlineLevel="1">
      <c r="A12" s="85" t="s">
        <v>37</v>
      </c>
      <c r="B12" s="68" t="s">
        <v>26</v>
      </c>
      <c r="C12" s="40" t="s">
        <v>38</v>
      </c>
      <c r="D12" s="41" t="s">
        <v>28</v>
      </c>
      <c r="E12" s="42">
        <v>46289</v>
      </c>
      <c r="F12" s="42">
        <v>46289</v>
      </c>
      <c r="G12" s="41">
        <f>IF(OR(E12="",F12=""),"",NETWORKDAYS(E12,F12,Feriados!$A$2:$A$9))</f>
        <v>1</v>
      </c>
      <c r="H12" s="81">
        <v>46289</v>
      </c>
      <c r="I12" s="81">
        <v>46289</v>
      </c>
      <c r="J12" s="41" t="s">
        <v>29</v>
      </c>
      <c r="K12" s="54" t="s">
        <v>4</v>
      </c>
      <c r="L12" s="51" t="s">
        <v>24</v>
      </c>
    </row>
    <row r="13" spans="1:12" outlineLevel="1">
      <c r="A13" s="85" t="s">
        <v>39</v>
      </c>
      <c r="B13" s="68" t="s">
        <v>26</v>
      </c>
      <c r="C13" s="40" t="s">
        <v>40</v>
      </c>
      <c r="D13" s="41" t="s">
        <v>28</v>
      </c>
      <c r="E13" s="42">
        <v>46289</v>
      </c>
      <c r="F13" s="42">
        <v>46289</v>
      </c>
      <c r="G13" s="41">
        <f>IF(OR(E13="",F13=""),"",NETWORKDAYS(E13,F13,Feriados!$A$2:$A$9))</f>
        <v>1</v>
      </c>
      <c r="H13" s="81">
        <v>46289</v>
      </c>
      <c r="I13" s="81">
        <v>46289</v>
      </c>
      <c r="J13" s="41" t="s">
        <v>29</v>
      </c>
      <c r="K13" s="54"/>
      <c r="L13" s="51" t="s">
        <v>24</v>
      </c>
    </row>
    <row r="14" spans="1:12" outlineLevel="1">
      <c r="A14" s="90" t="s">
        <v>41</v>
      </c>
      <c r="B14" s="91" t="s">
        <v>26</v>
      </c>
      <c r="C14" s="92" t="s">
        <v>354</v>
      </c>
      <c r="D14" s="93" t="s">
        <v>28</v>
      </c>
      <c r="E14" s="89">
        <v>46302</v>
      </c>
      <c r="F14" s="89">
        <v>46304</v>
      </c>
      <c r="G14" s="33">
        <f>IF(OR(E14="",F14=""),"",NETWORKDAYS(E14,F14,Feriados!$A$2:$A$9))</f>
        <v>3</v>
      </c>
      <c r="H14" s="78" t="s">
        <v>4</v>
      </c>
      <c r="I14" s="78" t="s">
        <v>4</v>
      </c>
      <c r="J14" s="33" t="s">
        <v>23</v>
      </c>
      <c r="K14" s="54" t="s">
        <v>4</v>
      </c>
      <c r="L14" s="51" t="s">
        <v>24</v>
      </c>
    </row>
    <row r="15" spans="1:12" outlineLevel="1">
      <c r="A15" s="90" t="s">
        <v>43</v>
      </c>
      <c r="B15" s="91" t="s">
        <v>26</v>
      </c>
      <c r="C15" s="92" t="s">
        <v>42</v>
      </c>
      <c r="D15" s="93" t="s">
        <v>28</v>
      </c>
      <c r="E15" s="89">
        <v>46302</v>
      </c>
      <c r="F15" s="89">
        <v>46304</v>
      </c>
      <c r="G15" s="33">
        <f>IF(OR(E15="",F15=""),"",NETWORKDAYS(E15,F15,Feriados!$A$2:$A$9))</f>
        <v>3</v>
      </c>
      <c r="H15" s="78" t="s">
        <v>4</v>
      </c>
      <c r="I15" s="78" t="s">
        <v>4</v>
      </c>
      <c r="J15" s="33" t="s">
        <v>23</v>
      </c>
      <c r="K15" s="54" t="s">
        <v>4</v>
      </c>
      <c r="L15" s="51" t="s">
        <v>24</v>
      </c>
    </row>
    <row r="16" spans="1:12" outlineLevel="1">
      <c r="A16" s="85" t="s">
        <v>45</v>
      </c>
      <c r="B16" s="68" t="s">
        <v>26</v>
      </c>
      <c r="C16" s="40" t="s">
        <v>44</v>
      </c>
      <c r="D16" s="41" t="s">
        <v>28</v>
      </c>
      <c r="E16" s="42">
        <v>46293</v>
      </c>
      <c r="F16" s="42">
        <v>46293</v>
      </c>
      <c r="G16" s="41">
        <f>IF(OR(E16="",F16=""),"",NETWORKDAYS(E16,F16,Feriados!$A$2:$A$9))</f>
        <v>1</v>
      </c>
      <c r="H16" s="81">
        <v>46293</v>
      </c>
      <c r="I16" s="81">
        <v>46293</v>
      </c>
      <c r="J16" s="41" t="s">
        <v>29</v>
      </c>
      <c r="K16" s="54" t="s">
        <v>4</v>
      </c>
      <c r="L16" s="51" t="s">
        <v>24</v>
      </c>
    </row>
    <row r="17" spans="1:12" outlineLevel="1">
      <c r="A17" s="85" t="s">
        <v>47</v>
      </c>
      <c r="B17" s="68" t="s">
        <v>26</v>
      </c>
      <c r="C17" s="40" t="s">
        <v>46</v>
      </c>
      <c r="D17" s="41" t="s">
        <v>28</v>
      </c>
      <c r="E17" s="42">
        <v>46293</v>
      </c>
      <c r="F17" s="42">
        <v>46293</v>
      </c>
      <c r="G17" s="41">
        <f>IF(OR(E17="",F17=""),"",NETWORKDAYS(E17,F17,Feriados!$A$2:$A$9))</f>
        <v>1</v>
      </c>
      <c r="H17" s="81">
        <v>46293</v>
      </c>
      <c r="I17" s="81">
        <v>46293</v>
      </c>
      <c r="J17" s="41" t="s">
        <v>29</v>
      </c>
      <c r="K17" s="54" t="s">
        <v>4</v>
      </c>
      <c r="L17" s="51" t="s">
        <v>24</v>
      </c>
    </row>
    <row r="18" spans="1:12" outlineLevel="1">
      <c r="A18" s="85" t="s">
        <v>49</v>
      </c>
      <c r="B18" s="68" t="s">
        <v>26</v>
      </c>
      <c r="C18" s="40" t="s">
        <v>48</v>
      </c>
      <c r="D18" s="41" t="s">
        <v>28</v>
      </c>
      <c r="E18" s="42">
        <v>46295</v>
      </c>
      <c r="F18" s="42">
        <v>46295</v>
      </c>
      <c r="G18" s="41">
        <f>IF(OR(E18="",F18=""),"",NETWORKDAYS(E18,F18,Feriados!$A$2:$A$9))</f>
        <v>1</v>
      </c>
      <c r="H18" s="42">
        <v>46297</v>
      </c>
      <c r="I18" s="42">
        <v>46297</v>
      </c>
      <c r="J18" s="41" t="s">
        <v>29</v>
      </c>
      <c r="K18" s="54" t="s">
        <v>4</v>
      </c>
      <c r="L18" s="51" t="s">
        <v>24</v>
      </c>
    </row>
    <row r="19" spans="1:12" ht="48" outlineLevel="1">
      <c r="A19" s="87" t="s">
        <v>355</v>
      </c>
      <c r="B19" s="70" t="s">
        <v>26</v>
      </c>
      <c r="C19" s="36" t="s">
        <v>356</v>
      </c>
      <c r="D19" s="37" t="s">
        <v>28</v>
      </c>
      <c r="E19" s="30">
        <v>46304</v>
      </c>
      <c r="F19" s="30">
        <v>46304</v>
      </c>
      <c r="G19" s="33">
        <f>IF(OR(E19="",F19=""),"",NETWORKDAYS(E19,F19,Feriados!$A$2:$A$9))</f>
        <v>1</v>
      </c>
      <c r="H19" s="78" t="s">
        <v>4</v>
      </c>
      <c r="I19" s="78" t="s">
        <v>4</v>
      </c>
      <c r="J19" s="33" t="s">
        <v>23</v>
      </c>
      <c r="K19" s="54"/>
      <c r="L19" s="46" t="s">
        <v>24</v>
      </c>
    </row>
    <row r="20" spans="1:12">
      <c r="A20" s="83">
        <v>2</v>
      </c>
      <c r="B20" s="66"/>
      <c r="C20" s="27" t="s">
        <v>52</v>
      </c>
      <c r="D20" s="27" t="s">
        <v>4</v>
      </c>
      <c r="E20" s="77">
        <f>MIN(E21:E56)</f>
        <v>46286</v>
      </c>
      <c r="F20" s="77">
        <f>MAX(F21:F56)</f>
        <v>46386</v>
      </c>
      <c r="G20" s="27">
        <f>IF(OR(E20="",F20=""),"",NETWORKDAYS(E20,F20,Feriados!$A$2:$A$9))</f>
        <v>69</v>
      </c>
      <c r="H20" s="77">
        <f>MIN(H21:H63)</f>
        <v>46286</v>
      </c>
      <c r="I20" s="77">
        <f>MAX(I21:I63)</f>
        <v>46301</v>
      </c>
      <c r="J20" s="27" t="s">
        <v>4</v>
      </c>
      <c r="K20" s="52" t="s">
        <v>4</v>
      </c>
      <c r="L20" s="60"/>
    </row>
    <row r="21" spans="1:12" outlineLevel="1">
      <c r="A21" s="85" t="s">
        <v>53</v>
      </c>
      <c r="B21" s="68" t="s">
        <v>26</v>
      </c>
      <c r="C21" s="40" t="s">
        <v>54</v>
      </c>
      <c r="D21" s="41" t="s">
        <v>70</v>
      </c>
      <c r="E21" s="42">
        <v>46286</v>
      </c>
      <c r="F21" s="42">
        <v>46290</v>
      </c>
      <c r="G21" s="41">
        <f>IF(OR(E21="",F21=""),"",NETWORKDAYS(E21,F21,Feriados!$A$2:$A$9))</f>
        <v>5</v>
      </c>
      <c r="H21" s="42">
        <v>46286</v>
      </c>
      <c r="I21" s="42">
        <v>46290</v>
      </c>
      <c r="J21" s="41" t="s">
        <v>29</v>
      </c>
      <c r="K21" s="53"/>
      <c r="L21" s="46" t="s">
        <v>56</v>
      </c>
    </row>
    <row r="22" spans="1:12" outlineLevel="1">
      <c r="A22" s="85" t="s">
        <v>57</v>
      </c>
      <c r="B22" s="68" t="s">
        <v>26</v>
      </c>
      <c r="C22" s="40" t="s">
        <v>58</v>
      </c>
      <c r="D22" s="41" t="s">
        <v>55</v>
      </c>
      <c r="E22" s="42">
        <v>46291</v>
      </c>
      <c r="F22" s="42">
        <v>46291</v>
      </c>
      <c r="G22" s="41">
        <f>IF(OR(E22="",F22=""),"",NETWORKDAYS(E22,F22,Feriados!$A$2:$A$9))</f>
        <v>0</v>
      </c>
      <c r="H22" s="42">
        <v>46291</v>
      </c>
      <c r="I22" s="42">
        <v>46291</v>
      </c>
      <c r="J22" s="41" t="s">
        <v>29</v>
      </c>
      <c r="K22" s="53"/>
      <c r="L22" s="46" t="s">
        <v>56</v>
      </c>
    </row>
    <row r="23" spans="1:12" outlineLevel="1">
      <c r="A23" s="85" t="s">
        <v>59</v>
      </c>
      <c r="B23" s="68" t="s">
        <v>26</v>
      </c>
      <c r="C23" s="40" t="s">
        <v>60</v>
      </c>
      <c r="D23" s="41" t="s">
        <v>63</v>
      </c>
      <c r="E23" s="42">
        <v>46286</v>
      </c>
      <c r="F23" s="42">
        <v>46290</v>
      </c>
      <c r="G23" s="41">
        <f>IF(OR(E23="",F23=""),"",NETWORKDAYS(E23,F23,Feriados!$A$2:$A$9))</f>
        <v>5</v>
      </c>
      <c r="H23" s="42">
        <v>46286</v>
      </c>
      <c r="I23" s="42">
        <v>46290</v>
      </c>
      <c r="J23" s="41" t="s">
        <v>29</v>
      </c>
      <c r="K23" s="53"/>
      <c r="L23" s="46" t="s">
        <v>56</v>
      </c>
    </row>
    <row r="24" spans="1:12" outlineLevel="1">
      <c r="A24" s="85" t="s">
        <v>61</v>
      </c>
      <c r="B24" s="68" t="s">
        <v>26</v>
      </c>
      <c r="C24" s="40" t="s">
        <v>72</v>
      </c>
      <c r="D24" s="41" t="s">
        <v>63</v>
      </c>
      <c r="E24" s="42">
        <v>46293</v>
      </c>
      <c r="F24" s="42">
        <v>46295</v>
      </c>
      <c r="G24" s="41">
        <f>IF(OR(E24="",F24=""),"",NETWORKDAYS(E24,F24,Feriados!$A$2:$A$9))</f>
        <v>3</v>
      </c>
      <c r="H24" s="42">
        <v>46293</v>
      </c>
      <c r="I24" s="42">
        <v>46295</v>
      </c>
      <c r="J24" s="41" t="s">
        <v>29</v>
      </c>
      <c r="K24" s="53"/>
      <c r="L24" s="46" t="s">
        <v>56</v>
      </c>
    </row>
    <row r="25" spans="1:12" outlineLevel="1">
      <c r="A25" s="84" t="s">
        <v>64</v>
      </c>
      <c r="B25" s="67" t="s">
        <v>26</v>
      </c>
      <c r="C25" s="28" t="s">
        <v>107</v>
      </c>
      <c r="D25" s="29" t="s">
        <v>55</v>
      </c>
      <c r="E25" s="30">
        <v>46293</v>
      </c>
      <c r="F25" s="30">
        <v>46304</v>
      </c>
      <c r="G25" s="29">
        <f>IF(OR(E25="",F25=""),"",NETWORKDAYS(E25,F25,Feriados!$A$2:$A$9))</f>
        <v>10</v>
      </c>
      <c r="H25" s="30"/>
      <c r="I25" s="30"/>
      <c r="J25" s="29" t="s">
        <v>23</v>
      </c>
      <c r="K25" s="53"/>
      <c r="L25" s="46" t="s">
        <v>56</v>
      </c>
    </row>
    <row r="26" spans="1:12" outlineLevel="1">
      <c r="A26" s="85" t="s">
        <v>66</v>
      </c>
      <c r="B26" s="68" t="s">
        <v>26</v>
      </c>
      <c r="C26" s="40" t="s">
        <v>357</v>
      </c>
      <c r="D26" s="41" t="s">
        <v>358</v>
      </c>
      <c r="E26" s="42">
        <v>46301</v>
      </c>
      <c r="F26" s="42">
        <v>46301</v>
      </c>
      <c r="G26" s="41">
        <f>IF(OR(E26="",F26=""),"",NETWORKDAYS(E26,F26,Feriados!$A$2:$A$9))</f>
        <v>1</v>
      </c>
      <c r="H26" s="42">
        <v>46301</v>
      </c>
      <c r="I26" s="42">
        <v>46301</v>
      </c>
      <c r="J26" s="41" t="s">
        <v>29</v>
      </c>
      <c r="K26" s="53"/>
      <c r="L26" s="46" t="s">
        <v>56</v>
      </c>
    </row>
    <row r="27" spans="1:12" outlineLevel="1">
      <c r="A27" s="85" t="s">
        <v>68</v>
      </c>
      <c r="B27" s="68" t="s">
        <v>26</v>
      </c>
      <c r="C27" s="40" t="s">
        <v>82</v>
      </c>
      <c r="D27" s="41" t="s">
        <v>55</v>
      </c>
      <c r="E27" s="42">
        <v>46293</v>
      </c>
      <c r="F27" s="42">
        <v>46294</v>
      </c>
      <c r="G27" s="41">
        <f>IF(OR(E27="",F27=""),"",NETWORKDAYS(E27,F27,Feriados!$A$2:$A$9))</f>
        <v>2</v>
      </c>
      <c r="H27" s="42">
        <v>46295</v>
      </c>
      <c r="I27" s="81">
        <v>46295</v>
      </c>
      <c r="J27" s="41" t="s">
        <v>29</v>
      </c>
      <c r="K27" s="53"/>
      <c r="L27" s="46" t="s">
        <v>56</v>
      </c>
    </row>
    <row r="28" spans="1:12" outlineLevel="1">
      <c r="A28" s="85" t="s">
        <v>71</v>
      </c>
      <c r="B28" s="68" t="s">
        <v>26</v>
      </c>
      <c r="C28" s="40" t="s">
        <v>65</v>
      </c>
      <c r="D28" s="41" t="s">
        <v>63</v>
      </c>
      <c r="E28" s="42">
        <v>46286</v>
      </c>
      <c r="F28" s="42">
        <v>46293</v>
      </c>
      <c r="G28" s="41">
        <f>IF(OR(E28="",F28=""),"",NETWORKDAYS(E28,F28,Feriados!$A$2:$A$9))</f>
        <v>6</v>
      </c>
      <c r="H28" s="42">
        <v>46286</v>
      </c>
      <c r="I28" s="42">
        <v>46293</v>
      </c>
      <c r="J28" s="41" t="s">
        <v>29</v>
      </c>
      <c r="K28" s="53"/>
      <c r="L28" s="46" t="s">
        <v>56</v>
      </c>
    </row>
    <row r="29" spans="1:12" outlineLevel="1">
      <c r="A29" s="84" t="s">
        <v>73</v>
      </c>
      <c r="B29" s="67" t="s">
        <v>26</v>
      </c>
      <c r="C29" s="28" t="s">
        <v>91</v>
      </c>
      <c r="D29" s="29" t="s">
        <v>92</v>
      </c>
      <c r="E29" s="30">
        <v>46300</v>
      </c>
      <c r="F29" s="30">
        <v>46304</v>
      </c>
      <c r="G29" s="29">
        <f>IF(OR(E29="",F29=""),"",NETWORKDAYS(E29,F29,Feriados!$A$2:$A$9))</f>
        <v>5</v>
      </c>
      <c r="H29" s="30">
        <v>46302</v>
      </c>
      <c r="I29" s="30"/>
      <c r="J29" s="29" t="s">
        <v>93</v>
      </c>
      <c r="K29" s="53"/>
      <c r="L29" s="46" t="s">
        <v>80</v>
      </c>
    </row>
    <row r="30" spans="1:12" outlineLevel="1">
      <c r="A30" s="84" t="s">
        <v>75</v>
      </c>
      <c r="B30" s="67" t="s">
        <v>26</v>
      </c>
      <c r="C30" s="28" t="s">
        <v>359</v>
      </c>
      <c r="D30" s="29" t="s">
        <v>79</v>
      </c>
      <c r="E30" s="30">
        <v>46307</v>
      </c>
      <c r="F30" s="30">
        <v>46311</v>
      </c>
      <c r="G30" s="29">
        <f>IF(OR(E30="",F30=""),"",NETWORKDAYS(E30,F30,Feriados!$A$2:$A$9))</f>
        <v>4</v>
      </c>
      <c r="H30" s="30"/>
      <c r="I30" s="30"/>
      <c r="J30" s="29" t="s">
        <v>23</v>
      </c>
      <c r="K30" s="53"/>
      <c r="L30" s="46" t="s">
        <v>80</v>
      </c>
    </row>
    <row r="31" spans="1:12" outlineLevel="1">
      <c r="A31" s="87" t="s">
        <v>77</v>
      </c>
      <c r="B31" s="70" t="s">
        <v>20</v>
      </c>
      <c r="C31" s="36" t="s">
        <v>109</v>
      </c>
      <c r="D31" s="37" t="s">
        <v>22</v>
      </c>
      <c r="E31" s="30">
        <v>46314</v>
      </c>
      <c r="F31" s="30">
        <v>46324</v>
      </c>
      <c r="G31" s="29">
        <f>IF(OR(E31="",F31=""),"",NETWORKDAYS(E31,F31,Feriados!$A$2:$A$9))</f>
        <v>9</v>
      </c>
      <c r="H31" s="30"/>
      <c r="I31" s="30"/>
      <c r="J31" s="29" t="s">
        <v>23</v>
      </c>
      <c r="K31" s="53"/>
      <c r="L31" s="46" t="s">
        <v>80</v>
      </c>
    </row>
    <row r="32" spans="1:12" outlineLevel="1">
      <c r="A32" s="84" t="s">
        <v>81</v>
      </c>
      <c r="B32" s="67" t="s">
        <v>26</v>
      </c>
      <c r="C32" s="28" t="s">
        <v>360</v>
      </c>
      <c r="D32" s="29" t="s">
        <v>204</v>
      </c>
      <c r="E32" s="30">
        <v>46325</v>
      </c>
      <c r="F32" s="30">
        <v>46339</v>
      </c>
      <c r="G32" s="29">
        <f>IF(OR(E32="",F32=""),"",NETWORKDAYS(E32,F32,Feriados!$A$2:$A$9))</f>
        <v>10</v>
      </c>
      <c r="H32" s="30"/>
      <c r="I32" s="30"/>
      <c r="J32" s="29" t="s">
        <v>23</v>
      </c>
      <c r="K32" s="53"/>
      <c r="L32" s="46" t="s">
        <v>112</v>
      </c>
    </row>
    <row r="33" spans="1:12" outlineLevel="1">
      <c r="A33" s="87" t="s">
        <v>83</v>
      </c>
      <c r="B33" s="70" t="s">
        <v>26</v>
      </c>
      <c r="C33" s="36" t="s">
        <v>361</v>
      </c>
      <c r="D33" s="37" t="s">
        <v>125</v>
      </c>
      <c r="E33" s="30">
        <v>46296</v>
      </c>
      <c r="F33" s="30">
        <v>46325</v>
      </c>
      <c r="G33" s="29">
        <f>IF(OR(E33="",F33=""),"",NETWORKDAYS(E33,F33,Feriados!$A$2:$A$9))</f>
        <v>21</v>
      </c>
      <c r="H33" s="30"/>
      <c r="I33" s="30"/>
      <c r="J33" s="29" t="s">
        <v>23</v>
      </c>
      <c r="K33" s="53"/>
      <c r="L33" s="46" t="s">
        <v>80</v>
      </c>
    </row>
    <row r="34" spans="1:12" outlineLevel="1">
      <c r="A34" s="85" t="s">
        <v>86</v>
      </c>
      <c r="B34" s="68" t="s">
        <v>26</v>
      </c>
      <c r="C34" s="43" t="s">
        <v>67</v>
      </c>
      <c r="D34" s="41" t="s">
        <v>358</v>
      </c>
      <c r="E34" s="42">
        <v>46288</v>
      </c>
      <c r="F34" s="42">
        <v>46294</v>
      </c>
      <c r="G34" s="41">
        <f>IF(OR(E34="",F34=""),"",NETWORKDAYS(E34,F34,Feriados!$A$2:$A$9))</f>
        <v>5</v>
      </c>
      <c r="H34" s="81">
        <v>46294</v>
      </c>
      <c r="I34" s="81">
        <v>46294</v>
      </c>
      <c r="J34" s="41" t="s">
        <v>29</v>
      </c>
      <c r="K34" s="53"/>
      <c r="L34" s="46" t="s">
        <v>56</v>
      </c>
    </row>
    <row r="35" spans="1:12" ht="24" outlineLevel="1">
      <c r="A35" s="84" t="s">
        <v>88</v>
      </c>
      <c r="B35" s="67" t="s">
        <v>20</v>
      </c>
      <c r="C35" s="35" t="s">
        <v>137</v>
      </c>
      <c r="D35" s="29" t="s">
        <v>138</v>
      </c>
      <c r="E35" s="30">
        <v>46371</v>
      </c>
      <c r="F35" s="30">
        <v>46374</v>
      </c>
      <c r="G35" s="29">
        <f>IF(OR(E35="",F35=""),"",NETWORKDAYS(E35,F35,Feriados!$A$2:$A$9))</f>
        <v>4</v>
      </c>
      <c r="H35" s="30"/>
      <c r="I35" s="30"/>
      <c r="J35" s="29" t="s">
        <v>23</v>
      </c>
      <c r="K35" s="53" t="s">
        <v>139</v>
      </c>
      <c r="L35" s="46" t="s">
        <v>140</v>
      </c>
    </row>
    <row r="36" spans="1:12" outlineLevel="1">
      <c r="A36" s="84" t="s">
        <v>90</v>
      </c>
      <c r="B36" s="67" t="s">
        <v>26</v>
      </c>
      <c r="C36" s="28" t="s">
        <v>362</v>
      </c>
      <c r="D36" s="29" t="s">
        <v>79</v>
      </c>
      <c r="E36" s="30">
        <v>46374</v>
      </c>
      <c r="F36" s="30">
        <v>46374</v>
      </c>
      <c r="G36" s="29">
        <f>IF(OR(E36="",F36=""),"",NETWORKDAYS(E36,F36,Feriados!$A$2:$A$9))</f>
        <v>1</v>
      </c>
      <c r="H36" s="30"/>
      <c r="I36" s="30"/>
      <c r="J36" s="29" t="s">
        <v>23</v>
      </c>
      <c r="K36" s="53"/>
      <c r="L36" s="46" t="s">
        <v>80</v>
      </c>
    </row>
    <row r="37" spans="1:12" outlineLevel="1">
      <c r="A37" s="84" t="s">
        <v>94</v>
      </c>
      <c r="B37" s="67" t="s">
        <v>26</v>
      </c>
      <c r="C37" s="28" t="s">
        <v>363</v>
      </c>
      <c r="D37" s="29" t="s">
        <v>138</v>
      </c>
      <c r="E37" s="30">
        <v>46377</v>
      </c>
      <c r="F37" s="30">
        <v>46379</v>
      </c>
      <c r="G37" s="29">
        <f>IF(OR(E37="",F37=""),"",NETWORKDAYS(E37,F37,Feriados!$A$2:$A$9))</f>
        <v>3</v>
      </c>
      <c r="H37" s="30" t="s">
        <v>4</v>
      </c>
      <c r="I37" s="30" t="s">
        <v>4</v>
      </c>
      <c r="J37" s="29" t="s">
        <v>23</v>
      </c>
      <c r="K37" s="53" t="s">
        <v>145</v>
      </c>
      <c r="L37" s="46" t="s">
        <v>140</v>
      </c>
    </row>
    <row r="38" spans="1:12" outlineLevel="1">
      <c r="A38" s="84" t="s">
        <v>100</v>
      </c>
      <c r="B38" s="67" t="s">
        <v>26</v>
      </c>
      <c r="C38" s="32" t="s">
        <v>117</v>
      </c>
      <c r="D38" s="33" t="s">
        <v>118</v>
      </c>
      <c r="E38" s="78">
        <v>46300</v>
      </c>
      <c r="F38" s="78">
        <v>46311</v>
      </c>
      <c r="G38" s="29">
        <f>IF(OR(E38="",F38=""),"",NETWORKDAYS(E38,F38,Feriados!$A$2:$A$9))</f>
        <v>9</v>
      </c>
      <c r="H38" s="30" t="s">
        <v>4</v>
      </c>
      <c r="I38" s="30" t="s">
        <v>4</v>
      </c>
      <c r="J38" s="29" t="s">
        <v>23</v>
      </c>
      <c r="K38" s="53" t="s">
        <v>364</v>
      </c>
      <c r="L38" s="46" t="s">
        <v>80</v>
      </c>
    </row>
    <row r="39" spans="1:12" outlineLevel="1">
      <c r="A39" s="85" t="s">
        <v>103</v>
      </c>
      <c r="B39" s="68" t="s">
        <v>26</v>
      </c>
      <c r="C39" s="40" t="s">
        <v>69</v>
      </c>
      <c r="D39" s="41" t="s">
        <v>70</v>
      </c>
      <c r="E39" s="42">
        <v>46293</v>
      </c>
      <c r="F39" s="42">
        <v>46294</v>
      </c>
      <c r="G39" s="41">
        <f>IF(OR(E39="",F39=""),"",NETWORKDAYS(E39,F39,Feriados!$A$2:$A$9))</f>
        <v>2</v>
      </c>
      <c r="H39" s="42">
        <v>46293</v>
      </c>
      <c r="I39" s="42">
        <v>46294</v>
      </c>
      <c r="J39" s="41" t="s">
        <v>29</v>
      </c>
      <c r="K39" s="53" t="s">
        <v>4</v>
      </c>
      <c r="L39" s="46" t="s">
        <v>56</v>
      </c>
    </row>
    <row r="40" spans="1:12" outlineLevel="1">
      <c r="A40" s="85" t="s">
        <v>106</v>
      </c>
      <c r="B40" s="68" t="s">
        <v>26</v>
      </c>
      <c r="C40" s="40" t="s">
        <v>62</v>
      </c>
      <c r="D40" s="41" t="s">
        <v>63</v>
      </c>
      <c r="E40" s="42">
        <v>46291</v>
      </c>
      <c r="F40" s="42">
        <v>46291</v>
      </c>
      <c r="G40" s="41">
        <f>IF(OR(E40="",F40=""),"",NETWORKDAYS(E40,F40,Feriados!$A$2:$A$9))</f>
        <v>0</v>
      </c>
      <c r="H40" s="42">
        <v>46291</v>
      </c>
      <c r="I40" s="42">
        <v>46291</v>
      </c>
      <c r="J40" s="41" t="s">
        <v>29</v>
      </c>
      <c r="K40" s="53"/>
      <c r="L40" s="46" t="s">
        <v>56</v>
      </c>
    </row>
    <row r="41" spans="1:12" outlineLevel="1">
      <c r="A41" s="85" t="s">
        <v>108</v>
      </c>
      <c r="B41" s="68" t="s">
        <v>26</v>
      </c>
      <c r="C41" s="40" t="s">
        <v>78</v>
      </c>
      <c r="D41" s="41" t="s">
        <v>79</v>
      </c>
      <c r="E41" s="42">
        <v>46307</v>
      </c>
      <c r="F41" s="42">
        <v>46311</v>
      </c>
      <c r="G41" s="41">
        <f>IF(OR(E41="",F41=""),"",NETWORKDAYS(E41,F41,Feriados!$A$2:$A$9))</f>
        <v>4</v>
      </c>
      <c r="H41" s="81">
        <v>46296</v>
      </c>
      <c r="I41" s="81">
        <v>46296</v>
      </c>
      <c r="J41" s="41" t="s">
        <v>29</v>
      </c>
      <c r="K41" s="53"/>
      <c r="L41" s="46" t="s">
        <v>80</v>
      </c>
    </row>
    <row r="42" spans="1:12" ht="24" outlineLevel="1">
      <c r="A42" s="85" t="s">
        <v>110</v>
      </c>
      <c r="B42" s="68" t="s">
        <v>26</v>
      </c>
      <c r="C42" s="40" t="s">
        <v>365</v>
      </c>
      <c r="D42" s="41" t="s">
        <v>55</v>
      </c>
      <c r="E42" s="42">
        <v>46293</v>
      </c>
      <c r="F42" s="42">
        <v>46296</v>
      </c>
      <c r="G42" s="41">
        <f>IF(OR(E42="",F42=""),"",NETWORKDAYS(E42,F42,Feriados!$A$2:$A$9))</f>
        <v>4</v>
      </c>
      <c r="H42" s="81">
        <v>46296</v>
      </c>
      <c r="I42" s="81">
        <v>46296</v>
      </c>
      <c r="J42" s="41" t="s">
        <v>29</v>
      </c>
      <c r="K42" s="53"/>
      <c r="L42" s="46" t="s">
        <v>56</v>
      </c>
    </row>
    <row r="43" spans="1:12" ht="24" outlineLevel="1">
      <c r="A43" s="87" t="s">
        <v>113</v>
      </c>
      <c r="B43" s="70" t="s">
        <v>26</v>
      </c>
      <c r="C43" s="34" t="s">
        <v>366</v>
      </c>
      <c r="D43" s="37" t="s">
        <v>55</v>
      </c>
      <c r="E43" s="30">
        <v>46296</v>
      </c>
      <c r="F43" s="30">
        <v>46325</v>
      </c>
      <c r="G43" s="29">
        <f>IF(OR(E43="",F43=""),"",NETWORKDAYS(E43,F43,Feriados!$A$2:$A$9))</f>
        <v>21</v>
      </c>
      <c r="H43" s="30"/>
      <c r="I43" s="30"/>
      <c r="J43" s="29" t="s">
        <v>23</v>
      </c>
      <c r="K43" s="53"/>
      <c r="L43" s="46" t="s">
        <v>56</v>
      </c>
    </row>
    <row r="44" spans="1:12" ht="24" outlineLevel="1">
      <c r="A44" s="87" t="s">
        <v>116</v>
      </c>
      <c r="B44" s="70" t="s">
        <v>26</v>
      </c>
      <c r="C44" s="36" t="s">
        <v>367</v>
      </c>
      <c r="D44" s="37" t="s">
        <v>55</v>
      </c>
      <c r="E44" s="30">
        <v>46293</v>
      </c>
      <c r="F44" s="30">
        <v>46304</v>
      </c>
      <c r="G44" s="29">
        <f>IF(OR(E44="",F44=""),"",NETWORKDAYS(E44,F44,Feriados!$A$2:$A$9))</f>
        <v>10</v>
      </c>
      <c r="H44" s="30"/>
      <c r="I44" s="30"/>
      <c r="J44" s="29" t="s">
        <v>23</v>
      </c>
      <c r="K44" s="53"/>
      <c r="L44" s="46" t="s">
        <v>56</v>
      </c>
    </row>
    <row r="45" spans="1:12" ht="24" outlineLevel="1">
      <c r="A45" s="87" t="s">
        <v>120</v>
      </c>
      <c r="B45" s="70" t="s">
        <v>26</v>
      </c>
      <c r="C45" s="36" t="s">
        <v>368</v>
      </c>
      <c r="D45" s="37" t="s">
        <v>125</v>
      </c>
      <c r="E45" s="30">
        <v>46302</v>
      </c>
      <c r="F45" s="30">
        <v>46304</v>
      </c>
      <c r="G45" s="29">
        <f>IF(OR(E45="",F45=""),"",NETWORKDAYS(E45,F45,Feriados!$A$2:$A$9))</f>
        <v>3</v>
      </c>
      <c r="H45" s="30"/>
      <c r="I45" s="30"/>
      <c r="J45" s="29" t="s">
        <v>23</v>
      </c>
      <c r="K45" s="53" t="s">
        <v>126</v>
      </c>
      <c r="L45" s="46" t="s">
        <v>80</v>
      </c>
    </row>
    <row r="46" spans="1:12" outlineLevel="1">
      <c r="A46" s="87" t="s">
        <v>123</v>
      </c>
      <c r="B46" s="70" t="s">
        <v>26</v>
      </c>
      <c r="C46" s="36" t="s">
        <v>369</v>
      </c>
      <c r="D46" s="37" t="s">
        <v>370</v>
      </c>
      <c r="E46" s="30">
        <v>46308</v>
      </c>
      <c r="F46" s="30">
        <v>46311</v>
      </c>
      <c r="G46" s="29">
        <f>IF(OR(E46="",F46=""),"",NETWORKDAYS(E46,F46,Feriados!$A$2:$A$9))</f>
        <v>4</v>
      </c>
      <c r="H46" s="30"/>
      <c r="I46" s="30"/>
      <c r="J46" s="29" t="s">
        <v>23</v>
      </c>
      <c r="K46" s="53" t="s">
        <v>371</v>
      </c>
      <c r="L46" s="46" t="s">
        <v>80</v>
      </c>
    </row>
    <row r="47" spans="1:12" outlineLevel="1">
      <c r="A47" s="87" t="s">
        <v>127</v>
      </c>
      <c r="B47" s="70" t="s">
        <v>26</v>
      </c>
      <c r="C47" s="36" t="s">
        <v>372</v>
      </c>
      <c r="D47" s="37" t="s">
        <v>204</v>
      </c>
      <c r="E47" s="30">
        <v>46314</v>
      </c>
      <c r="F47" s="30">
        <v>46346</v>
      </c>
      <c r="G47" s="29">
        <f>IF(OR(E47="",F47=""),"",NETWORKDAYS(E47,F47,Feriados!$A$2:$A$9))</f>
        <v>23</v>
      </c>
      <c r="H47" s="30"/>
      <c r="I47" s="30"/>
      <c r="J47" s="29" t="s">
        <v>23</v>
      </c>
      <c r="K47" s="53"/>
      <c r="L47" s="46" t="s">
        <v>80</v>
      </c>
    </row>
    <row r="48" spans="1:12" outlineLevel="1">
      <c r="A48" s="87" t="s">
        <v>130</v>
      </c>
      <c r="B48" s="70" t="s">
        <v>20</v>
      </c>
      <c r="C48" s="36" t="s">
        <v>84</v>
      </c>
      <c r="D48" s="37" t="s">
        <v>63</v>
      </c>
      <c r="E48" s="30">
        <v>46296</v>
      </c>
      <c r="F48" s="30">
        <v>46311</v>
      </c>
      <c r="G48" s="29">
        <f>IF(OR(E48="",F48=""),"",NETWORKDAYS(E48,F48,Feriados!$A$2:$A$9))</f>
        <v>11</v>
      </c>
      <c r="H48" s="30" t="s">
        <v>4</v>
      </c>
      <c r="I48" s="30" t="s">
        <v>4</v>
      </c>
      <c r="J48" s="29" t="s">
        <v>23</v>
      </c>
      <c r="K48" s="53" t="s">
        <v>85</v>
      </c>
      <c r="L48" s="46" t="s">
        <v>56</v>
      </c>
    </row>
    <row r="49" spans="1:12" outlineLevel="1">
      <c r="A49" s="84" t="s">
        <v>133</v>
      </c>
      <c r="B49" s="67" t="s">
        <v>26</v>
      </c>
      <c r="C49" s="28" t="s">
        <v>149</v>
      </c>
      <c r="D49" s="29" t="s">
        <v>79</v>
      </c>
      <c r="E49" s="30">
        <v>46357</v>
      </c>
      <c r="F49" s="30">
        <v>46374</v>
      </c>
      <c r="G49" s="29">
        <f>IF(OR(E49="",F49=""),"",NETWORKDAYS(E49,F49,Feriados!$A$2:$A$9))</f>
        <v>14</v>
      </c>
      <c r="H49" s="30" t="s">
        <v>4</v>
      </c>
      <c r="I49" s="30" t="s">
        <v>4</v>
      </c>
      <c r="J49" s="29" t="s">
        <v>23</v>
      </c>
      <c r="K49" s="53"/>
      <c r="L49" s="46" t="s">
        <v>80</v>
      </c>
    </row>
    <row r="50" spans="1:12" outlineLevel="1">
      <c r="A50" s="84" t="s">
        <v>136</v>
      </c>
      <c r="B50" s="67"/>
      <c r="C50" s="28" t="s">
        <v>151</v>
      </c>
      <c r="D50" s="29" t="s">
        <v>79</v>
      </c>
      <c r="E50" s="30">
        <v>46296</v>
      </c>
      <c r="F50" s="30">
        <v>46325</v>
      </c>
      <c r="G50" s="29">
        <f>IF(OR(E50="",F50=""),"",NETWORKDAYS(E50,F50,Feriados!$A$2:$A$9))</f>
        <v>21</v>
      </c>
      <c r="H50" s="30" t="s">
        <v>4</v>
      </c>
      <c r="I50" s="30" t="s">
        <v>4</v>
      </c>
      <c r="J50" s="29" t="s">
        <v>23</v>
      </c>
      <c r="K50" s="53" t="s">
        <v>4</v>
      </c>
      <c r="L50" s="46" t="s">
        <v>80</v>
      </c>
    </row>
    <row r="51" spans="1:12" ht="24" outlineLevel="1">
      <c r="A51" s="85" t="s">
        <v>141</v>
      </c>
      <c r="B51" s="68" t="s">
        <v>26</v>
      </c>
      <c r="C51" s="40" t="s">
        <v>373</v>
      </c>
      <c r="D51" s="41" t="s">
        <v>55</v>
      </c>
      <c r="E51" s="42">
        <v>46293</v>
      </c>
      <c r="F51" s="42">
        <v>46296</v>
      </c>
      <c r="G51" s="41">
        <f>IF(OR(E51="",F51=""),"",NETWORKDAYS(E51,F51,Feriados!$A$2:$A$9))</f>
        <v>4</v>
      </c>
      <c r="H51" s="81">
        <v>46296</v>
      </c>
      <c r="I51" s="81">
        <v>46296</v>
      </c>
      <c r="J51" s="41" t="s">
        <v>29</v>
      </c>
      <c r="K51" s="53"/>
      <c r="L51" s="46" t="s">
        <v>56</v>
      </c>
    </row>
    <row r="52" spans="1:12" ht="24" outlineLevel="1">
      <c r="A52" s="84" t="s">
        <v>143</v>
      </c>
      <c r="B52" s="67" t="s">
        <v>26</v>
      </c>
      <c r="C52" s="28" t="s">
        <v>153</v>
      </c>
      <c r="D52" s="29" t="s">
        <v>125</v>
      </c>
      <c r="E52" s="30">
        <v>46328</v>
      </c>
      <c r="F52" s="30">
        <v>46353</v>
      </c>
      <c r="G52" s="29">
        <f>IF(OR(E52="",F52=""),"",NETWORKDAYS(E52,F52,Feriados!$A$2:$A$9))</f>
        <v>18</v>
      </c>
      <c r="H52" s="30"/>
      <c r="I52" s="30"/>
      <c r="J52" s="29" t="s">
        <v>23</v>
      </c>
      <c r="K52" s="53"/>
      <c r="L52" s="46" t="s">
        <v>80</v>
      </c>
    </row>
    <row r="53" spans="1:12" s="31" customFormat="1" ht="24" outlineLevel="1">
      <c r="A53" s="84" t="s">
        <v>146</v>
      </c>
      <c r="B53" s="67" t="s">
        <v>26</v>
      </c>
      <c r="C53" s="28" t="s">
        <v>155</v>
      </c>
      <c r="D53" s="29" t="s">
        <v>138</v>
      </c>
      <c r="E53" s="30">
        <v>46327</v>
      </c>
      <c r="F53" s="30">
        <v>46332</v>
      </c>
      <c r="G53" s="29">
        <f>IF(OR(E53="",F53=""),"",NETWORKDAYS(E53,F53,Feriados!$A$2:$A$9))</f>
        <v>4</v>
      </c>
      <c r="H53" s="30" t="s">
        <v>4</v>
      </c>
      <c r="I53" s="30" t="s">
        <v>4</v>
      </c>
      <c r="J53" s="29" t="s">
        <v>23</v>
      </c>
      <c r="K53" s="53" t="s">
        <v>4</v>
      </c>
      <c r="L53" s="51" t="s">
        <v>140</v>
      </c>
    </row>
    <row r="54" spans="1:12" ht="24" outlineLevel="1">
      <c r="A54" s="87" t="s">
        <v>148</v>
      </c>
      <c r="B54" s="70" t="s">
        <v>26</v>
      </c>
      <c r="C54" s="36" t="s">
        <v>374</v>
      </c>
      <c r="D54" s="37" t="s">
        <v>125</v>
      </c>
      <c r="E54" s="30">
        <v>46357</v>
      </c>
      <c r="F54" s="30">
        <v>46371</v>
      </c>
      <c r="G54" s="29">
        <f>IF(OR(E54="",F54=""),"",NETWORKDAYS(E54,F54,Feriados!$A$2:$A$9))</f>
        <v>11</v>
      </c>
      <c r="H54" s="30" t="s">
        <v>4</v>
      </c>
      <c r="I54" s="30" t="s">
        <v>4</v>
      </c>
      <c r="J54" s="29" t="s">
        <v>23</v>
      </c>
      <c r="K54" s="53" t="s">
        <v>375</v>
      </c>
      <c r="L54" s="46" t="s">
        <v>140</v>
      </c>
    </row>
    <row r="55" spans="1:12" s="31" customFormat="1" ht="35.25" customHeight="1" outlineLevel="1">
      <c r="A55" s="87" t="s">
        <v>150</v>
      </c>
      <c r="B55" s="70" t="s">
        <v>26</v>
      </c>
      <c r="C55" s="36" t="s">
        <v>160</v>
      </c>
      <c r="D55" s="37" t="s">
        <v>138</v>
      </c>
      <c r="E55" s="30">
        <v>46372</v>
      </c>
      <c r="F55" s="30">
        <v>46378</v>
      </c>
      <c r="G55" s="29">
        <f>IF(OR(E55="",F55=""),"",NETWORKDAYS(E55,F55,Feriados!$A$2:$A$9))</f>
        <v>5</v>
      </c>
      <c r="H55" s="30"/>
      <c r="I55" s="30"/>
      <c r="J55" s="29" t="s">
        <v>23</v>
      </c>
      <c r="K55" s="53" t="s">
        <v>161</v>
      </c>
      <c r="L55" s="51" t="s">
        <v>140</v>
      </c>
    </row>
    <row r="56" spans="1:12" s="31" customFormat="1" outlineLevel="1">
      <c r="A56" s="87" t="s">
        <v>152</v>
      </c>
      <c r="B56" s="70" t="s">
        <v>26</v>
      </c>
      <c r="C56" s="36" t="s">
        <v>163</v>
      </c>
      <c r="D56" s="37" t="s">
        <v>138</v>
      </c>
      <c r="E56" s="30">
        <v>46372</v>
      </c>
      <c r="F56" s="30">
        <v>46386</v>
      </c>
      <c r="G56" s="29">
        <f>IF(OR(E56="",F56=""),"",NETWORKDAYS(E56,F56,Feriados!$A$2:$A$9))</f>
        <v>10</v>
      </c>
      <c r="H56" s="30" t="s">
        <v>4</v>
      </c>
      <c r="I56" s="30" t="s">
        <v>4</v>
      </c>
      <c r="J56" s="29" t="s">
        <v>23</v>
      </c>
      <c r="K56" s="53" t="s">
        <v>164</v>
      </c>
      <c r="L56" s="51" t="s">
        <v>140</v>
      </c>
    </row>
    <row r="57" spans="1:12" s="31" customFormat="1" ht="36" outlineLevel="1">
      <c r="A57" s="87" t="s">
        <v>154</v>
      </c>
      <c r="B57" s="70" t="s">
        <v>26</v>
      </c>
      <c r="C57" s="36" t="s">
        <v>121</v>
      </c>
      <c r="D57" s="37" t="s">
        <v>79</v>
      </c>
      <c r="E57" s="30">
        <v>46308</v>
      </c>
      <c r="F57" s="30">
        <v>46318</v>
      </c>
      <c r="G57" s="29">
        <f>IF(OR(E57="",F57=""),"",NETWORKDAYS(E57,F57,Feriados!$A$2:$A$9))</f>
        <v>9</v>
      </c>
      <c r="H57" s="30"/>
      <c r="I57" s="30"/>
      <c r="J57" s="29" t="s">
        <v>23</v>
      </c>
      <c r="K57" s="53" t="s">
        <v>376</v>
      </c>
      <c r="L57" s="51" t="s">
        <v>80</v>
      </c>
    </row>
    <row r="58" spans="1:12" s="31" customFormat="1" ht="24" outlineLevel="1">
      <c r="A58" s="87" t="s">
        <v>156</v>
      </c>
      <c r="B58" s="70" t="s">
        <v>26</v>
      </c>
      <c r="C58" s="36" t="s">
        <v>377</v>
      </c>
      <c r="D58" s="37" t="s">
        <v>55</v>
      </c>
      <c r="E58" s="30">
        <v>46321</v>
      </c>
      <c r="F58" s="30">
        <v>46353</v>
      </c>
      <c r="G58" s="29">
        <f>IF(OR(E58="",F58=""),"",NETWORKDAYS(E58,F58,Feriados!$A$2:$A$9))</f>
        <v>23</v>
      </c>
      <c r="H58" s="30"/>
      <c r="I58" s="30"/>
      <c r="J58" s="29" t="s">
        <v>23</v>
      </c>
      <c r="K58" s="53" t="s">
        <v>378</v>
      </c>
      <c r="L58" s="51" t="s">
        <v>56</v>
      </c>
    </row>
    <row r="59" spans="1:12" s="31" customFormat="1" ht="24" outlineLevel="1">
      <c r="A59" s="87" t="s">
        <v>159</v>
      </c>
      <c r="B59" s="70" t="s">
        <v>26</v>
      </c>
      <c r="C59" s="36" t="s">
        <v>379</v>
      </c>
      <c r="D59" s="37" t="s">
        <v>380</v>
      </c>
      <c r="E59" s="30">
        <v>46356</v>
      </c>
      <c r="F59" s="30">
        <v>46367</v>
      </c>
      <c r="G59" s="29">
        <f>IF(OR(E59="",F59=""),"",NETWORKDAYS(E59,F59,Feriados!$A$2:$A$9))</f>
        <v>10</v>
      </c>
      <c r="H59" s="30"/>
      <c r="I59" s="30"/>
      <c r="J59" s="29" t="s">
        <v>23</v>
      </c>
      <c r="K59" s="53" t="s">
        <v>381</v>
      </c>
      <c r="L59" s="51" t="s">
        <v>56</v>
      </c>
    </row>
    <row r="60" spans="1:12" s="31" customFormat="1" outlineLevel="1">
      <c r="A60" s="87" t="s">
        <v>162</v>
      </c>
      <c r="B60" s="70" t="s">
        <v>26</v>
      </c>
      <c r="C60" s="36" t="s">
        <v>382</v>
      </c>
      <c r="D60" s="37" t="s">
        <v>383</v>
      </c>
      <c r="E60" s="30">
        <v>46308</v>
      </c>
      <c r="F60" s="30">
        <v>46325</v>
      </c>
      <c r="G60" s="29">
        <f>IF(OR(E60="",F60=""),"",NETWORKDAYS(E60,F60,Feriados!$A$2:$A$9))</f>
        <v>14</v>
      </c>
      <c r="H60" s="30"/>
      <c r="I60" s="30"/>
      <c r="J60" s="29" t="s">
        <v>23</v>
      </c>
      <c r="K60" s="53"/>
      <c r="L60" s="51" t="s">
        <v>80</v>
      </c>
    </row>
    <row r="61" spans="1:12" s="31" customFormat="1" ht="24" outlineLevel="1">
      <c r="A61" s="87" t="s">
        <v>384</v>
      </c>
      <c r="B61" s="70" t="s">
        <v>26</v>
      </c>
      <c r="C61" s="36" t="s">
        <v>385</v>
      </c>
      <c r="D61" s="37" t="s">
        <v>55</v>
      </c>
      <c r="E61" s="30">
        <v>46329</v>
      </c>
      <c r="F61" s="30">
        <v>46345</v>
      </c>
      <c r="G61" s="29">
        <f>IF(OR(E61="",F61=""),"",NETWORKDAYS(E61,F61,Feriados!$A$2:$A$9))</f>
        <v>13</v>
      </c>
      <c r="H61" s="30"/>
      <c r="I61" s="30"/>
      <c r="J61" s="29" t="s">
        <v>23</v>
      </c>
      <c r="K61" s="53" t="s">
        <v>386</v>
      </c>
      <c r="L61" s="51" t="s">
        <v>56</v>
      </c>
    </row>
    <row r="62" spans="1:12" s="31" customFormat="1" ht="24" outlineLevel="1">
      <c r="A62" s="87" t="s">
        <v>387</v>
      </c>
      <c r="B62" s="70" t="s">
        <v>26</v>
      </c>
      <c r="C62" s="36" t="s">
        <v>87</v>
      </c>
      <c r="D62" s="37" t="s">
        <v>55</v>
      </c>
      <c r="E62" s="30">
        <v>46308</v>
      </c>
      <c r="F62" s="30">
        <v>46318</v>
      </c>
      <c r="G62" s="29">
        <f>IF(OR(E62="",F62=""),"",NETWORKDAYS(E62,F62,Feriados!$A$2:$A$9))</f>
        <v>9</v>
      </c>
      <c r="H62" s="30"/>
      <c r="I62" s="30"/>
      <c r="J62" s="29" t="s">
        <v>23</v>
      </c>
      <c r="K62" s="53"/>
      <c r="L62" s="51" t="s">
        <v>56</v>
      </c>
    </row>
    <row r="63" spans="1:12" s="31" customFormat="1" ht="24" outlineLevel="1">
      <c r="A63" s="87" t="s">
        <v>388</v>
      </c>
      <c r="B63" s="70" t="s">
        <v>26</v>
      </c>
      <c r="C63" s="36" t="s">
        <v>89</v>
      </c>
      <c r="D63" s="37" t="s">
        <v>55</v>
      </c>
      <c r="E63" s="30">
        <v>46321</v>
      </c>
      <c r="F63" s="30">
        <v>46332</v>
      </c>
      <c r="G63" s="29">
        <f>IF(OR(E63="",F63=""),"",NETWORKDAYS(E63,F63,Feriados!$A$2:$A$9))</f>
        <v>9</v>
      </c>
      <c r="H63" s="30"/>
      <c r="I63" s="30"/>
      <c r="J63" s="29" t="s">
        <v>23</v>
      </c>
      <c r="K63" s="53"/>
      <c r="L63" s="51" t="s">
        <v>56</v>
      </c>
    </row>
    <row r="64" spans="1:12">
      <c r="A64" s="83">
        <v>3</v>
      </c>
      <c r="B64" s="66"/>
      <c r="C64" s="27" t="s">
        <v>165</v>
      </c>
      <c r="D64" s="27" t="s">
        <v>4</v>
      </c>
      <c r="E64" s="77">
        <f>MIN(E65:E68)</f>
        <v>46296</v>
      </c>
      <c r="F64" s="77">
        <f>MAX(F65:F68)</f>
        <v>46386</v>
      </c>
      <c r="G64" s="27">
        <f>IF(OR(E64="",F64=""),"",NETWORKDAYS(E64,F64,Feriados!$A$2:$A$9))</f>
        <v>61</v>
      </c>
      <c r="H64" s="77"/>
      <c r="I64" s="77"/>
      <c r="J64" s="27" t="s">
        <v>4</v>
      </c>
      <c r="K64" s="52" t="s">
        <v>4</v>
      </c>
      <c r="L64" s="60"/>
    </row>
    <row r="65" spans="1:12" ht="24" outlineLevel="1">
      <c r="A65" s="86" t="s">
        <v>166</v>
      </c>
      <c r="B65" s="69" t="s">
        <v>26</v>
      </c>
      <c r="C65" s="32" t="s">
        <v>167</v>
      </c>
      <c r="D65" s="33" t="s">
        <v>118</v>
      </c>
      <c r="E65" s="78">
        <v>46296</v>
      </c>
      <c r="F65" s="78">
        <v>46325</v>
      </c>
      <c r="G65" s="33">
        <f>IF(OR(E65="",F65=""),"",NETWORKDAYS(E65,F65,Feriados!$A$2:$A$9))</f>
        <v>21</v>
      </c>
      <c r="H65" s="78" t="s">
        <v>4</v>
      </c>
      <c r="I65" s="78" t="s">
        <v>4</v>
      </c>
      <c r="J65" s="33" t="s">
        <v>23</v>
      </c>
      <c r="K65" s="54" t="s">
        <v>4</v>
      </c>
      <c r="L65" s="46" t="s">
        <v>80</v>
      </c>
    </row>
    <row r="66" spans="1:12" ht="24" outlineLevel="1">
      <c r="A66" s="86" t="s">
        <v>168</v>
      </c>
      <c r="B66" s="69" t="s">
        <v>26</v>
      </c>
      <c r="C66" s="32" t="s">
        <v>169</v>
      </c>
      <c r="D66" s="33" t="s">
        <v>79</v>
      </c>
      <c r="E66" s="78">
        <v>46329</v>
      </c>
      <c r="F66" s="78">
        <v>46367</v>
      </c>
      <c r="G66" s="33">
        <f>IF(OR(E66="",F66=""),"",NETWORKDAYS(E66,F66,Feriados!$A$2:$A$9))</f>
        <v>28</v>
      </c>
      <c r="H66" s="78" t="s">
        <v>4</v>
      </c>
      <c r="I66" s="78" t="s">
        <v>4</v>
      </c>
      <c r="J66" s="33" t="s">
        <v>23</v>
      </c>
      <c r="K66" s="54" t="s">
        <v>4</v>
      </c>
      <c r="L66" s="46" t="s">
        <v>80</v>
      </c>
    </row>
    <row r="67" spans="1:12" ht="24" outlineLevel="1">
      <c r="A67" s="86" t="s">
        <v>170</v>
      </c>
      <c r="B67" s="69" t="s">
        <v>26</v>
      </c>
      <c r="C67" s="32" t="s">
        <v>171</v>
      </c>
      <c r="D67" s="33" t="s">
        <v>172</v>
      </c>
      <c r="E67" s="78">
        <v>46370</v>
      </c>
      <c r="F67" s="78">
        <v>46374</v>
      </c>
      <c r="G67" s="33">
        <f>IF(OR(E67="",F67=""),"",NETWORKDAYS(E67,F67,Feriados!$A$2:$A$9))</f>
        <v>5</v>
      </c>
      <c r="H67" s="78"/>
      <c r="I67" s="78"/>
      <c r="J67" s="33" t="s">
        <v>23</v>
      </c>
      <c r="K67" s="54" t="s">
        <v>173</v>
      </c>
      <c r="L67" s="46" t="s">
        <v>80</v>
      </c>
    </row>
    <row r="68" spans="1:12" outlineLevel="1">
      <c r="A68" s="86" t="s">
        <v>174</v>
      </c>
      <c r="B68" s="69" t="s">
        <v>26</v>
      </c>
      <c r="C68" s="32" t="s">
        <v>175</v>
      </c>
      <c r="D68" s="33" t="s">
        <v>79</v>
      </c>
      <c r="E68" s="30">
        <v>46370</v>
      </c>
      <c r="F68" s="30">
        <v>46386</v>
      </c>
      <c r="G68" s="33">
        <f>IF(OR(E68="",F68=""),"",NETWORKDAYS(E68,F68,Feriados!$A$2:$A$9))</f>
        <v>12</v>
      </c>
      <c r="H68" s="78" t="s">
        <v>4</v>
      </c>
      <c r="I68" s="78" t="s">
        <v>4</v>
      </c>
      <c r="J68" s="33" t="s">
        <v>23</v>
      </c>
      <c r="K68" s="54" t="s">
        <v>176</v>
      </c>
      <c r="L68" s="46" t="s">
        <v>80</v>
      </c>
    </row>
    <row r="69" spans="1:12">
      <c r="A69" s="83">
        <v>4</v>
      </c>
      <c r="B69" s="66"/>
      <c r="C69" s="27" t="s">
        <v>177</v>
      </c>
      <c r="D69" s="27" t="s">
        <v>4</v>
      </c>
      <c r="E69" s="77">
        <f>MIN(E70:E75)</f>
        <v>46296</v>
      </c>
      <c r="F69" s="77">
        <f>MAX(F70:F75)</f>
        <v>46444</v>
      </c>
      <c r="G69" s="27">
        <f>IF(OR(E69="",F69=""),"",NETWORKDAYS(E69,F69,Feriados!$A$2:$A$9))</f>
        <v>100</v>
      </c>
      <c r="H69" s="77" t="s">
        <v>4</v>
      </c>
      <c r="I69" s="77" t="s">
        <v>4</v>
      </c>
      <c r="J69" s="27" t="s">
        <v>4</v>
      </c>
      <c r="K69" s="55" t="s">
        <v>4</v>
      </c>
      <c r="L69" s="60"/>
    </row>
    <row r="70" spans="1:12" outlineLevel="1">
      <c r="A70" s="87" t="s">
        <v>178</v>
      </c>
      <c r="B70" s="70" t="s">
        <v>26</v>
      </c>
      <c r="C70" s="36" t="s">
        <v>179</v>
      </c>
      <c r="D70" s="37" t="s">
        <v>389</v>
      </c>
      <c r="E70" s="30">
        <v>46301</v>
      </c>
      <c r="F70" s="30">
        <v>46311</v>
      </c>
      <c r="G70" s="33">
        <f>IF(OR(E70="",F70=""),"",NETWORKDAYS(E70,F70,Feriados!$A$2:$A$9))</f>
        <v>8</v>
      </c>
      <c r="H70" s="30" t="s">
        <v>4</v>
      </c>
      <c r="I70" s="30" t="s">
        <v>4</v>
      </c>
      <c r="J70" s="47" t="s">
        <v>23</v>
      </c>
      <c r="K70" s="56"/>
      <c r="L70" s="46" t="s">
        <v>181</v>
      </c>
    </row>
    <row r="71" spans="1:12" outlineLevel="1">
      <c r="A71" s="87" t="s">
        <v>182</v>
      </c>
      <c r="B71" s="70" t="s">
        <v>26</v>
      </c>
      <c r="C71" s="36" t="s">
        <v>390</v>
      </c>
      <c r="D71" s="37" t="s">
        <v>389</v>
      </c>
      <c r="E71" s="30">
        <v>46301</v>
      </c>
      <c r="F71" s="30">
        <v>46311</v>
      </c>
      <c r="G71" s="33">
        <f>IF(OR(E71="",F71=""),"",NETWORKDAYS(E71,F71,Feriados!$A$2:$A$9))</f>
        <v>8</v>
      </c>
      <c r="H71" s="30" t="s">
        <v>4</v>
      </c>
      <c r="I71" s="30" t="s">
        <v>4</v>
      </c>
      <c r="J71" s="47" t="s">
        <v>23</v>
      </c>
      <c r="K71" s="56"/>
      <c r="L71" s="46" t="s">
        <v>80</v>
      </c>
    </row>
    <row r="72" spans="1:12" outlineLevel="1">
      <c r="A72" s="86" t="s">
        <v>185</v>
      </c>
      <c r="B72" s="69" t="s">
        <v>26</v>
      </c>
      <c r="C72" s="32" t="s">
        <v>391</v>
      </c>
      <c r="D72" s="33" t="s">
        <v>118</v>
      </c>
      <c r="E72" s="30">
        <f>F71+3</f>
        <v>46314</v>
      </c>
      <c r="F72" s="30">
        <v>46318</v>
      </c>
      <c r="G72" s="33">
        <f>IF(OR(E72="",F72=""),"",NETWORKDAYS(E72,F72,Feriados!$A$2:$A$9))</f>
        <v>5</v>
      </c>
      <c r="H72" s="78" t="s">
        <v>4</v>
      </c>
      <c r="I72" s="78" t="s">
        <v>4</v>
      </c>
      <c r="J72" s="48" t="s">
        <v>23</v>
      </c>
      <c r="K72" s="56"/>
      <c r="L72" s="46" t="s">
        <v>80</v>
      </c>
    </row>
    <row r="73" spans="1:12" outlineLevel="1">
      <c r="A73" s="86" t="s">
        <v>187</v>
      </c>
      <c r="B73" s="69" t="s">
        <v>26</v>
      </c>
      <c r="C73" s="32" t="s">
        <v>188</v>
      </c>
      <c r="D73" s="33" t="s">
        <v>125</v>
      </c>
      <c r="E73" s="30">
        <v>46296</v>
      </c>
      <c r="F73" s="30">
        <v>46325</v>
      </c>
      <c r="G73" s="33">
        <f>IF(OR(E73="",F73=""),"",NETWORKDAYS(E73,F73,Feriados!$A$2:$A$9))</f>
        <v>21</v>
      </c>
      <c r="H73" s="30" t="s">
        <v>4</v>
      </c>
      <c r="I73" s="30" t="s">
        <v>4</v>
      </c>
      <c r="J73" s="47" t="s">
        <v>23</v>
      </c>
      <c r="K73" s="56"/>
      <c r="L73" s="46" t="s">
        <v>80</v>
      </c>
    </row>
    <row r="74" spans="1:12" outlineLevel="1">
      <c r="A74" s="86" t="s">
        <v>189</v>
      </c>
      <c r="B74" s="69" t="s">
        <v>26</v>
      </c>
      <c r="C74" s="32" t="s">
        <v>190</v>
      </c>
      <c r="D74" s="33" t="s">
        <v>79</v>
      </c>
      <c r="E74" s="30">
        <v>46296</v>
      </c>
      <c r="F74" s="30">
        <v>46356</v>
      </c>
      <c r="G74" s="33">
        <f>IF(OR(E74="",F74=""),"",NETWORKDAYS(E74,F74,Feriados!$A$2:$A$9))</f>
        <v>40</v>
      </c>
      <c r="H74" s="30" t="s">
        <v>4</v>
      </c>
      <c r="I74" s="30" t="s">
        <v>4</v>
      </c>
      <c r="J74" s="47" t="s">
        <v>23</v>
      </c>
      <c r="K74" s="57" t="s">
        <v>4</v>
      </c>
      <c r="L74" s="46" t="s">
        <v>140</v>
      </c>
    </row>
    <row r="75" spans="1:12" outlineLevel="1">
      <c r="A75" s="84" t="s">
        <v>192</v>
      </c>
      <c r="B75" s="67" t="s">
        <v>26</v>
      </c>
      <c r="C75" s="28" t="s">
        <v>392</v>
      </c>
      <c r="D75" s="29" t="s">
        <v>138</v>
      </c>
      <c r="E75" s="30">
        <v>46419</v>
      </c>
      <c r="F75" s="30">
        <v>46444</v>
      </c>
      <c r="G75" s="33">
        <f>IF(OR(E75="",F75=""),"",NETWORKDAYS(E75,F75,Feriados!$A$2:$A$9))</f>
        <v>18</v>
      </c>
      <c r="H75" s="30" t="s">
        <v>4</v>
      </c>
      <c r="I75" s="30" t="s">
        <v>4</v>
      </c>
      <c r="J75" s="29" t="s">
        <v>23</v>
      </c>
      <c r="K75" s="53" t="s">
        <v>4</v>
      </c>
      <c r="L75" s="46" t="s">
        <v>140</v>
      </c>
    </row>
    <row r="76" spans="1:12" outlineLevel="1">
      <c r="A76" s="87" t="s">
        <v>195</v>
      </c>
      <c r="B76" s="70" t="s">
        <v>26</v>
      </c>
      <c r="C76" s="36" t="s">
        <v>393</v>
      </c>
      <c r="D76" s="37" t="s">
        <v>138</v>
      </c>
      <c r="E76" s="30">
        <v>46308</v>
      </c>
      <c r="F76" s="30">
        <v>46325</v>
      </c>
      <c r="G76" s="33">
        <f>IF(OR(E76="",F76=""),"",NETWORKDAYS(E76,F76,Feriados!$A$2:$A$9))</f>
        <v>14</v>
      </c>
      <c r="H76" s="30"/>
      <c r="I76" s="30"/>
      <c r="J76" s="29" t="s">
        <v>23</v>
      </c>
      <c r="K76" s="53" t="s">
        <v>194</v>
      </c>
      <c r="L76" s="46" t="s">
        <v>140</v>
      </c>
    </row>
    <row r="77" spans="1:12" outlineLevel="1">
      <c r="A77" s="87" t="s">
        <v>199</v>
      </c>
      <c r="B77" s="70" t="s">
        <v>26</v>
      </c>
      <c r="C77" s="36" t="s">
        <v>196</v>
      </c>
      <c r="D77" s="37" t="s">
        <v>394</v>
      </c>
      <c r="E77" s="30">
        <v>46357</v>
      </c>
      <c r="F77" s="30">
        <v>46387</v>
      </c>
      <c r="G77" s="33">
        <f>IF(OR(E77="",F77=""),"",NETWORKDAYS(E77,F77,Feriados!$A$2:$A$9))</f>
        <v>22</v>
      </c>
      <c r="H77" s="30"/>
      <c r="I77" s="30"/>
      <c r="J77" s="29" t="s">
        <v>23</v>
      </c>
      <c r="K77" s="53" t="s">
        <v>198</v>
      </c>
      <c r="L77" s="46" t="s">
        <v>140</v>
      </c>
    </row>
    <row r="78" spans="1:12" outlineLevel="1">
      <c r="A78" s="87" t="s">
        <v>395</v>
      </c>
      <c r="B78" s="70" t="s">
        <v>26</v>
      </c>
      <c r="C78" s="36" t="s">
        <v>396</v>
      </c>
      <c r="D78" s="37" t="s">
        <v>138</v>
      </c>
      <c r="E78" s="30">
        <v>46357</v>
      </c>
      <c r="F78" s="30">
        <v>46387</v>
      </c>
      <c r="G78" s="33">
        <f>IF(OR(E78="",F78=""),"",NETWORKDAYS(E78,F78,Feriados!$A$2:$A$9))</f>
        <v>22</v>
      </c>
      <c r="H78" s="30"/>
      <c r="I78" s="30"/>
      <c r="J78" s="29" t="s">
        <v>23</v>
      </c>
      <c r="K78" s="54" t="s">
        <v>397</v>
      </c>
      <c r="L78" s="46" t="s">
        <v>140</v>
      </c>
    </row>
    <row r="79" spans="1:12" ht="24" outlineLevel="1">
      <c r="A79" s="87" t="s">
        <v>398</v>
      </c>
      <c r="B79" s="70" t="s">
        <v>26</v>
      </c>
      <c r="C79" s="36" t="s">
        <v>399</v>
      </c>
      <c r="D79" s="37" t="s">
        <v>138</v>
      </c>
      <c r="E79" s="30">
        <v>46363</v>
      </c>
      <c r="F79" s="30">
        <v>46374</v>
      </c>
      <c r="G79" s="33">
        <f>IF(OR(E79="",F79=""),"",NETWORKDAYS(E79,F79,Feriados!$A$2:$A$9))</f>
        <v>10</v>
      </c>
      <c r="H79" s="30"/>
      <c r="I79" s="30"/>
      <c r="J79" s="29" t="s">
        <v>23</v>
      </c>
      <c r="K79" s="53" t="s">
        <v>400</v>
      </c>
      <c r="L79" s="46" t="s">
        <v>140</v>
      </c>
    </row>
    <row r="80" spans="1:12">
      <c r="A80" s="83">
        <v>5</v>
      </c>
      <c r="B80" s="66"/>
      <c r="C80" s="27" t="s">
        <v>201</v>
      </c>
      <c r="D80" s="27" t="s">
        <v>4</v>
      </c>
      <c r="E80" s="77">
        <f>MIN(E81:E99)</f>
        <v>46266</v>
      </c>
      <c r="F80" s="77">
        <f>MAX(F81:F99)</f>
        <v>46444</v>
      </c>
      <c r="G80" s="27">
        <f>IF(OR(E80="",F80=""),"",NETWORKDAYS(E80,F80,Feriados!$A$2:$A$9))</f>
        <v>122</v>
      </c>
      <c r="H80" s="77">
        <f>MIN(H81:H99)</f>
        <v>46286</v>
      </c>
      <c r="I80" s="77">
        <f>MAX(I81:I99)</f>
        <v>46293</v>
      </c>
      <c r="J80" s="27" t="s">
        <v>4</v>
      </c>
      <c r="K80" s="52" t="s">
        <v>4</v>
      </c>
      <c r="L80" s="60"/>
    </row>
    <row r="81" spans="1:12" s="31" customFormat="1" outlineLevel="1">
      <c r="A81" s="84" t="s">
        <v>202</v>
      </c>
      <c r="B81" s="67" t="s">
        <v>26</v>
      </c>
      <c r="C81" s="28" t="s">
        <v>209</v>
      </c>
      <c r="D81" s="29" t="s">
        <v>204</v>
      </c>
      <c r="E81" s="30">
        <v>46266</v>
      </c>
      <c r="F81" s="30">
        <v>46325</v>
      </c>
      <c r="G81" s="33">
        <f>IF(OR(E81="",F81=""),"",NETWORKDAYS(E81,F81,Feriados!$A$2:$A$9))</f>
        <v>43</v>
      </c>
      <c r="H81" s="30"/>
      <c r="I81" s="30"/>
      <c r="J81" s="29" t="s">
        <v>93</v>
      </c>
      <c r="K81" s="53" t="s">
        <v>401</v>
      </c>
      <c r="L81" s="51" t="s">
        <v>112</v>
      </c>
    </row>
    <row r="82" spans="1:12" s="31" customFormat="1" outlineLevel="1">
      <c r="A82" s="84" t="s">
        <v>205</v>
      </c>
      <c r="B82" s="67" t="s">
        <v>26</v>
      </c>
      <c r="C82" s="28" t="s">
        <v>212</v>
      </c>
      <c r="D82" s="29" t="s">
        <v>207</v>
      </c>
      <c r="E82" s="30">
        <v>46266</v>
      </c>
      <c r="F82" s="30">
        <v>46325</v>
      </c>
      <c r="G82" s="33">
        <f>IF(OR(E82="",F82=""),"",NETWORKDAYS(E82,F82,Feriados!$A$2:$A$9))</f>
        <v>43</v>
      </c>
      <c r="H82" s="30"/>
      <c r="I82" s="30"/>
      <c r="J82" s="29" t="s">
        <v>93</v>
      </c>
      <c r="K82" s="53" t="s">
        <v>401</v>
      </c>
      <c r="L82" s="51" t="s">
        <v>112</v>
      </c>
    </row>
    <row r="83" spans="1:12" s="31" customFormat="1" outlineLevel="1">
      <c r="A83" s="84" t="s">
        <v>208</v>
      </c>
      <c r="B83" s="67" t="s">
        <v>26</v>
      </c>
      <c r="C83" s="28" t="s">
        <v>214</v>
      </c>
      <c r="D83" s="29" t="s">
        <v>204</v>
      </c>
      <c r="E83" s="30">
        <v>46310</v>
      </c>
      <c r="F83" s="30">
        <v>46325</v>
      </c>
      <c r="G83" s="33">
        <f>IF(OR(E83="",F83=""),"",NETWORKDAYS(E83,F83,Feriados!$A$2:$A$9))</f>
        <v>12</v>
      </c>
      <c r="H83" s="30"/>
      <c r="I83" s="30"/>
      <c r="J83" s="29" t="s">
        <v>23</v>
      </c>
      <c r="K83" s="53"/>
      <c r="L83" s="51" t="s">
        <v>112</v>
      </c>
    </row>
    <row r="84" spans="1:12" s="31" customFormat="1" outlineLevel="1">
      <c r="A84" s="84" t="s">
        <v>211</v>
      </c>
      <c r="B84" s="67" t="s">
        <v>26</v>
      </c>
      <c r="C84" s="28" t="s">
        <v>216</v>
      </c>
      <c r="D84" s="29" t="s">
        <v>207</v>
      </c>
      <c r="E84" s="30">
        <v>46293</v>
      </c>
      <c r="F84" s="30">
        <v>46325</v>
      </c>
      <c r="G84" s="33">
        <f>IF(OR(E84="",F84=""),"",NETWORKDAYS(E84,F84,Feriados!$A$2:$A$9))</f>
        <v>24</v>
      </c>
      <c r="H84" s="30"/>
      <c r="I84" s="30"/>
      <c r="J84" s="29" t="s">
        <v>93</v>
      </c>
      <c r="K84" s="53"/>
      <c r="L84" s="51" t="s">
        <v>112</v>
      </c>
    </row>
    <row r="85" spans="1:12" s="31" customFormat="1" ht="24" outlineLevel="1">
      <c r="A85" s="85" t="s">
        <v>213</v>
      </c>
      <c r="B85" s="68" t="s">
        <v>20</v>
      </c>
      <c r="C85" s="40" t="s">
        <v>203</v>
      </c>
      <c r="D85" s="41" t="s">
        <v>204</v>
      </c>
      <c r="E85" s="42">
        <v>46286</v>
      </c>
      <c r="F85" s="42">
        <v>46293</v>
      </c>
      <c r="G85" s="41">
        <f>IF(OR(E85="",F85=""),"",NETWORKDAYS(E85,F85,Feriados!$A$2:$A$9))</f>
        <v>6</v>
      </c>
      <c r="H85" s="42">
        <v>46286</v>
      </c>
      <c r="I85" s="42">
        <v>46293</v>
      </c>
      <c r="J85" s="41" t="s">
        <v>29</v>
      </c>
      <c r="K85" s="53"/>
      <c r="L85" s="51" t="s">
        <v>112</v>
      </c>
    </row>
    <row r="86" spans="1:12" s="31" customFormat="1" outlineLevel="1">
      <c r="A86" s="85" t="s">
        <v>215</v>
      </c>
      <c r="B86" s="68" t="s">
        <v>20</v>
      </c>
      <c r="C86" s="40" t="s">
        <v>206</v>
      </c>
      <c r="D86" s="41" t="s">
        <v>207</v>
      </c>
      <c r="E86" s="42">
        <v>46286</v>
      </c>
      <c r="F86" s="42">
        <v>46293</v>
      </c>
      <c r="G86" s="41">
        <f>IF(OR(E86="",F86=""),"",NETWORKDAYS(E86,F86,Feriados!$A$2:$A$9))</f>
        <v>6</v>
      </c>
      <c r="H86" s="42">
        <v>46286</v>
      </c>
      <c r="I86" s="42">
        <v>46293</v>
      </c>
      <c r="J86" s="41" t="s">
        <v>29</v>
      </c>
      <c r="K86" s="53"/>
      <c r="L86" s="51" t="s">
        <v>112</v>
      </c>
    </row>
    <row r="87" spans="1:12" s="31" customFormat="1" ht="24" outlineLevel="1">
      <c r="A87" s="84" t="s">
        <v>217</v>
      </c>
      <c r="B87" s="67" t="s">
        <v>26</v>
      </c>
      <c r="C87" s="28" t="s">
        <v>229</v>
      </c>
      <c r="D87" s="29" t="s">
        <v>204</v>
      </c>
      <c r="E87" s="30">
        <v>46349</v>
      </c>
      <c r="F87" s="30">
        <v>46356</v>
      </c>
      <c r="G87" s="33">
        <f>IF(OR(E87="",F87=""),"",NETWORKDAYS(E87,F87,Feriados!$A$2:$A$9))</f>
        <v>6</v>
      </c>
      <c r="H87" s="30"/>
      <c r="I87" s="30"/>
      <c r="J87" s="29" t="s">
        <v>23</v>
      </c>
      <c r="K87" s="53" t="s">
        <v>230</v>
      </c>
      <c r="L87" s="51" t="s">
        <v>112</v>
      </c>
    </row>
    <row r="88" spans="1:12" s="31" customFormat="1" ht="24" outlineLevel="1">
      <c r="A88" s="84" t="s">
        <v>221</v>
      </c>
      <c r="B88" s="67" t="s">
        <v>26</v>
      </c>
      <c r="C88" s="28" t="s">
        <v>232</v>
      </c>
      <c r="D88" s="29" t="s">
        <v>207</v>
      </c>
      <c r="E88" s="30">
        <v>46349</v>
      </c>
      <c r="F88" s="30">
        <v>46356</v>
      </c>
      <c r="G88" s="33">
        <f>IF(OR(E88="",F88=""),"",NETWORKDAYS(E88,F88,Feriados!$A$2:$A$9))</f>
        <v>6</v>
      </c>
      <c r="H88" s="30"/>
      <c r="I88" s="30"/>
      <c r="J88" s="29" t="s">
        <v>23</v>
      </c>
      <c r="K88" s="53" t="s">
        <v>233</v>
      </c>
      <c r="L88" s="51" t="s">
        <v>112</v>
      </c>
    </row>
    <row r="89" spans="1:12" s="31" customFormat="1" outlineLevel="1">
      <c r="A89" s="84" t="s">
        <v>225</v>
      </c>
      <c r="B89" s="67" t="s">
        <v>26</v>
      </c>
      <c r="C89" s="28" t="s">
        <v>235</v>
      </c>
      <c r="D89" s="29" t="s">
        <v>204</v>
      </c>
      <c r="E89" s="30">
        <v>46357</v>
      </c>
      <c r="F89" s="30">
        <v>46357</v>
      </c>
      <c r="G89" s="33">
        <f>IF(OR(E89="",F89=""),"",NETWORKDAYS(E89,F89,Feriados!$A$2:$A$9))</f>
        <v>1</v>
      </c>
      <c r="H89" s="30"/>
      <c r="I89" s="30"/>
      <c r="J89" s="29" t="s">
        <v>23</v>
      </c>
      <c r="K89" s="53" t="s">
        <v>236</v>
      </c>
      <c r="L89" s="51" t="s">
        <v>112</v>
      </c>
    </row>
    <row r="90" spans="1:12" s="31" customFormat="1" outlineLevel="1">
      <c r="A90" s="84" t="s">
        <v>228</v>
      </c>
      <c r="B90" s="67" t="s">
        <v>26</v>
      </c>
      <c r="C90" s="28" t="s">
        <v>238</v>
      </c>
      <c r="D90" s="29" t="s">
        <v>207</v>
      </c>
      <c r="E90" s="30">
        <v>46357</v>
      </c>
      <c r="F90" s="30">
        <v>46357</v>
      </c>
      <c r="G90" s="33">
        <f>IF(OR(E90="",F90=""),"",NETWORKDAYS(E90,F90,Feriados!$A$2:$A$9))</f>
        <v>1</v>
      </c>
      <c r="H90" s="30"/>
      <c r="I90" s="30"/>
      <c r="J90" s="29" t="s">
        <v>23</v>
      </c>
      <c r="K90" s="53" t="s">
        <v>239</v>
      </c>
      <c r="L90" s="51" t="s">
        <v>112</v>
      </c>
    </row>
    <row r="91" spans="1:12" s="31" customFormat="1" ht="24" outlineLevel="1">
      <c r="A91" s="84" t="s">
        <v>231</v>
      </c>
      <c r="B91" s="67" t="s">
        <v>26</v>
      </c>
      <c r="C91" s="28" t="s">
        <v>222</v>
      </c>
      <c r="D91" s="29" t="s">
        <v>223</v>
      </c>
      <c r="E91" s="30">
        <v>46329</v>
      </c>
      <c r="F91" s="30">
        <v>46374</v>
      </c>
      <c r="G91" s="33">
        <f>IF(OR(E91="",F91=""),"",NETWORKDAYS(E91,F91,Feriados!$A$2:$A$9))</f>
        <v>33</v>
      </c>
      <c r="H91" s="30"/>
      <c r="I91" s="30"/>
      <c r="J91" s="29" t="s">
        <v>23</v>
      </c>
      <c r="K91" s="53" t="s">
        <v>402</v>
      </c>
      <c r="L91" s="51" t="s">
        <v>140</v>
      </c>
    </row>
    <row r="92" spans="1:12" s="31" customFormat="1" ht="24" outlineLevel="1">
      <c r="A92" s="84" t="s">
        <v>234</v>
      </c>
      <c r="B92" s="67" t="s">
        <v>26</v>
      </c>
      <c r="C92" s="28" t="s">
        <v>218</v>
      </c>
      <c r="D92" s="29" t="s">
        <v>219</v>
      </c>
      <c r="E92" s="30">
        <v>46339</v>
      </c>
      <c r="F92" s="30">
        <v>46339</v>
      </c>
      <c r="G92" s="33">
        <f>IF(OR(E92="",F92=""),"",NETWORKDAYS(E92,F92,Feriados!$A$2:$A$9))</f>
        <v>1</v>
      </c>
      <c r="H92" s="30"/>
      <c r="I92" s="30"/>
      <c r="J92" s="29" t="s">
        <v>23</v>
      </c>
      <c r="K92" s="53" t="s">
        <v>403</v>
      </c>
      <c r="L92" s="51" t="s">
        <v>112</v>
      </c>
    </row>
    <row r="93" spans="1:12" s="31" customFormat="1" outlineLevel="1">
      <c r="A93" s="87" t="s">
        <v>237</v>
      </c>
      <c r="B93" s="70" t="s">
        <v>26</v>
      </c>
      <c r="C93" s="36" t="s">
        <v>226</v>
      </c>
      <c r="D93" s="37" t="s">
        <v>204</v>
      </c>
      <c r="E93" s="30">
        <v>46335</v>
      </c>
      <c r="F93" s="30">
        <v>46346</v>
      </c>
      <c r="G93" s="33">
        <f>IF(OR(E93="",F93=""),"",NETWORKDAYS(E93,F93,Feriados!$A$2:$A$9))</f>
        <v>9</v>
      </c>
      <c r="H93" s="30"/>
      <c r="I93" s="30"/>
      <c r="J93" s="29" t="s">
        <v>23</v>
      </c>
      <c r="K93" s="53" t="s">
        <v>227</v>
      </c>
      <c r="L93" s="51" t="s">
        <v>112</v>
      </c>
    </row>
    <row r="94" spans="1:12" s="31" customFormat="1" outlineLevel="1">
      <c r="A94" s="84" t="s">
        <v>240</v>
      </c>
      <c r="B94" s="67" t="s">
        <v>26</v>
      </c>
      <c r="C94" s="28" t="s">
        <v>241</v>
      </c>
      <c r="D94" s="29" t="s">
        <v>204</v>
      </c>
      <c r="E94" s="30">
        <v>46372</v>
      </c>
      <c r="F94" s="30">
        <v>46387</v>
      </c>
      <c r="G94" s="33">
        <f>IF(OR(E94="",F94=""),"",NETWORKDAYS(E94,F94,Feriados!$A$2:$A$9))</f>
        <v>11</v>
      </c>
      <c r="H94" s="30"/>
      <c r="I94" s="30"/>
      <c r="J94" s="29" t="s">
        <v>23</v>
      </c>
      <c r="K94" s="53" t="s">
        <v>242</v>
      </c>
      <c r="L94" s="51" t="s">
        <v>112</v>
      </c>
    </row>
    <row r="95" spans="1:12" s="31" customFormat="1" outlineLevel="1">
      <c r="A95" s="84" t="s">
        <v>243</v>
      </c>
      <c r="B95" s="67" t="s">
        <v>26</v>
      </c>
      <c r="C95" s="28" t="s">
        <v>244</v>
      </c>
      <c r="D95" s="29" t="s">
        <v>204</v>
      </c>
      <c r="E95" s="30">
        <v>46372</v>
      </c>
      <c r="F95" s="30">
        <v>46387</v>
      </c>
      <c r="G95" s="33">
        <f>IF(OR(E95="",F95=""),"",NETWORKDAYS(E95,F95,Feriados!$A$2:$A$9))</f>
        <v>11</v>
      </c>
      <c r="H95" s="30"/>
      <c r="I95" s="30"/>
      <c r="J95" s="29" t="s">
        <v>23</v>
      </c>
      <c r="K95" s="53" t="s">
        <v>245</v>
      </c>
      <c r="L95" s="51" t="s">
        <v>112</v>
      </c>
    </row>
    <row r="96" spans="1:12" s="31" customFormat="1" ht="24" outlineLevel="1">
      <c r="A96" s="84" t="s">
        <v>246</v>
      </c>
      <c r="B96" s="67" t="s">
        <v>26</v>
      </c>
      <c r="C96" s="28" t="s">
        <v>247</v>
      </c>
      <c r="D96" s="29" t="s">
        <v>248</v>
      </c>
      <c r="E96" s="30">
        <v>46357</v>
      </c>
      <c r="F96" s="30">
        <v>46374</v>
      </c>
      <c r="G96" s="33">
        <f>IF(OR(E96="",F96=""),"",NETWORKDAYS(E96,F96,Feriados!$A$2:$A$9))</f>
        <v>14</v>
      </c>
      <c r="H96" s="30"/>
      <c r="I96" s="30"/>
      <c r="J96" s="29" t="s">
        <v>23</v>
      </c>
      <c r="K96" s="53" t="s">
        <v>249</v>
      </c>
      <c r="L96" s="51" t="s">
        <v>80</v>
      </c>
    </row>
    <row r="97" spans="1:12" s="31" customFormat="1" ht="24" outlineLevel="1">
      <c r="A97" s="87" t="s">
        <v>250</v>
      </c>
      <c r="B97" s="70" t="s">
        <v>26</v>
      </c>
      <c r="C97" s="34" t="s">
        <v>251</v>
      </c>
      <c r="D97" s="37" t="s">
        <v>204</v>
      </c>
      <c r="E97" s="30">
        <v>46329</v>
      </c>
      <c r="F97" s="30">
        <v>46339</v>
      </c>
      <c r="G97" s="33">
        <f>IF(OR(E97="",F97=""),"",NETWORKDAYS(E97,F97,Feriados!$A$2:$A$9))</f>
        <v>9</v>
      </c>
      <c r="H97" s="30"/>
      <c r="I97" s="30"/>
      <c r="J97" s="29" t="s">
        <v>23</v>
      </c>
      <c r="K97" s="53"/>
      <c r="L97" s="51" t="s">
        <v>112</v>
      </c>
    </row>
    <row r="98" spans="1:12" s="31" customFormat="1" outlineLevel="1">
      <c r="A98" s="84" t="s">
        <v>252</v>
      </c>
      <c r="B98" s="67" t="s">
        <v>26</v>
      </c>
      <c r="C98" s="28" t="s">
        <v>253</v>
      </c>
      <c r="D98" s="29" t="s">
        <v>204</v>
      </c>
      <c r="E98" s="30">
        <v>46419</v>
      </c>
      <c r="F98" s="30">
        <v>46444</v>
      </c>
      <c r="G98" s="33">
        <f>IF(OR(E98="",F98=""),"",NETWORKDAYS(E98,F98,Feriados!$A$2:$A$9))</f>
        <v>18</v>
      </c>
      <c r="H98" s="30"/>
      <c r="I98" s="30"/>
      <c r="J98" s="29" t="s">
        <v>23</v>
      </c>
      <c r="K98" s="53" t="s">
        <v>254</v>
      </c>
      <c r="L98" s="51" t="s">
        <v>112</v>
      </c>
    </row>
    <row r="99" spans="1:12" s="31" customFormat="1" outlineLevel="1">
      <c r="A99" s="84" t="s">
        <v>255</v>
      </c>
      <c r="B99" s="67" t="s">
        <v>26</v>
      </c>
      <c r="C99" s="28" t="s">
        <v>256</v>
      </c>
      <c r="D99" s="29" t="s">
        <v>207</v>
      </c>
      <c r="E99" s="30">
        <v>46419</v>
      </c>
      <c r="F99" s="30">
        <v>46444</v>
      </c>
      <c r="G99" s="33">
        <f>IF(OR(E99="",F99=""),"",NETWORKDAYS(E99,F99,Feriados!$A$2:$A$9))</f>
        <v>18</v>
      </c>
      <c r="H99" s="30"/>
      <c r="I99" s="89"/>
      <c r="J99" s="29" t="s">
        <v>23</v>
      </c>
      <c r="K99" s="53" t="s">
        <v>254</v>
      </c>
      <c r="L99" s="51" t="s">
        <v>112</v>
      </c>
    </row>
    <row r="100" spans="1:12">
      <c r="A100" s="83">
        <v>6</v>
      </c>
      <c r="B100" s="66"/>
      <c r="C100" s="27" t="s">
        <v>257</v>
      </c>
      <c r="D100" s="27" t="s">
        <v>4</v>
      </c>
      <c r="E100" s="77">
        <f>MIN(E101:E107)</f>
        <v>46296</v>
      </c>
      <c r="F100" s="77">
        <f>MAX(F101:F107)</f>
        <v>46477</v>
      </c>
      <c r="G100" s="27">
        <f>IF(OR(E100="",F100=""),"",NETWORKDAYS(E100,F100,Feriados!$A$2:$A$9))</f>
        <v>123</v>
      </c>
      <c r="H100" s="77"/>
      <c r="I100" s="77"/>
      <c r="J100" s="27" t="s">
        <v>4</v>
      </c>
      <c r="K100" s="52" t="s">
        <v>4</v>
      </c>
      <c r="L100" s="60"/>
    </row>
    <row r="101" spans="1:12" ht="24" outlineLevel="1">
      <c r="A101" s="86" t="s">
        <v>258</v>
      </c>
      <c r="B101" s="69" t="s">
        <v>26</v>
      </c>
      <c r="C101" s="32" t="s">
        <v>280</v>
      </c>
      <c r="D101" s="33" t="s">
        <v>260</v>
      </c>
      <c r="E101" s="30">
        <v>46357</v>
      </c>
      <c r="F101" s="30">
        <v>46387</v>
      </c>
      <c r="G101" s="33">
        <f>IF(OR(E101="",F101=""),"",NETWORKDAYS(E101,F101,Feriados!$A$2:$A$9))</f>
        <v>22</v>
      </c>
      <c r="H101" s="78" t="s">
        <v>4</v>
      </c>
      <c r="I101" s="78" t="s">
        <v>4</v>
      </c>
      <c r="J101" s="33" t="s">
        <v>23</v>
      </c>
      <c r="K101" s="54" t="s">
        <v>281</v>
      </c>
      <c r="L101" s="46" t="s">
        <v>261</v>
      </c>
    </row>
    <row r="102" spans="1:12" ht="24" outlineLevel="1">
      <c r="A102" s="86" t="s">
        <v>262</v>
      </c>
      <c r="B102" s="69" t="s">
        <v>26</v>
      </c>
      <c r="C102" s="32" t="s">
        <v>274</v>
      </c>
      <c r="D102" s="33" t="s">
        <v>260</v>
      </c>
      <c r="E102" s="30">
        <v>46357</v>
      </c>
      <c r="F102" s="30">
        <v>46387</v>
      </c>
      <c r="G102" s="33">
        <f>IF(OR(E102="",F102=""),"",NETWORKDAYS(E102,F102,Feriados!$A$2:$A$9))</f>
        <v>22</v>
      </c>
      <c r="H102" s="78" t="s">
        <v>4</v>
      </c>
      <c r="I102" s="78" t="s">
        <v>4</v>
      </c>
      <c r="J102" s="33" t="s">
        <v>23</v>
      </c>
      <c r="K102" s="54" t="s">
        <v>404</v>
      </c>
      <c r="L102" s="46" t="s">
        <v>261</v>
      </c>
    </row>
    <row r="103" spans="1:12" ht="24" outlineLevel="1">
      <c r="A103" s="87" t="s">
        <v>265</v>
      </c>
      <c r="B103" s="70" t="s">
        <v>20</v>
      </c>
      <c r="C103" s="36" t="s">
        <v>277</v>
      </c>
      <c r="D103" s="37" t="s">
        <v>260</v>
      </c>
      <c r="E103" s="30">
        <v>46327</v>
      </c>
      <c r="F103" s="30">
        <v>46477</v>
      </c>
      <c r="G103" s="33">
        <f>IF(OR(E103="",F103=""),"",NETWORKDAYS(E103,F103,Feriados!$A$2:$A$9))</f>
        <v>102</v>
      </c>
      <c r="H103" s="78" t="s">
        <v>4</v>
      </c>
      <c r="I103" s="78" t="s">
        <v>4</v>
      </c>
      <c r="J103" s="33" t="s">
        <v>23</v>
      </c>
      <c r="K103" s="54" t="s">
        <v>405</v>
      </c>
      <c r="L103" s="46" t="s">
        <v>261</v>
      </c>
    </row>
    <row r="104" spans="1:12" ht="24" outlineLevel="1">
      <c r="A104" s="87" t="s">
        <v>267</v>
      </c>
      <c r="B104" s="70" t="s">
        <v>26</v>
      </c>
      <c r="C104" s="36" t="s">
        <v>259</v>
      </c>
      <c r="D104" s="37" t="s">
        <v>260</v>
      </c>
      <c r="E104" s="30">
        <v>46296</v>
      </c>
      <c r="F104" s="30">
        <v>46304</v>
      </c>
      <c r="G104" s="33">
        <f>IF(OR(E104="",F104=""),"",NETWORKDAYS(E104,F104,Feriados!$A$2:$A$9))</f>
        <v>7</v>
      </c>
      <c r="H104" s="78" t="s">
        <v>4</v>
      </c>
      <c r="I104" s="78" t="s">
        <v>4</v>
      </c>
      <c r="J104" s="33" t="s">
        <v>23</v>
      </c>
      <c r="K104" s="54"/>
      <c r="L104" s="46" t="s">
        <v>261</v>
      </c>
    </row>
    <row r="105" spans="1:12" ht="24" outlineLevel="1">
      <c r="A105" s="87" t="s">
        <v>270</v>
      </c>
      <c r="B105" s="70" t="s">
        <v>26</v>
      </c>
      <c r="C105" s="36" t="s">
        <v>263</v>
      </c>
      <c r="D105" s="37" t="s">
        <v>260</v>
      </c>
      <c r="E105" s="30" t="s">
        <v>4</v>
      </c>
      <c r="F105" s="30" t="s">
        <v>4</v>
      </c>
      <c r="G105" s="29" t="s">
        <v>406</v>
      </c>
      <c r="H105" s="78" t="s">
        <v>4</v>
      </c>
      <c r="I105" s="78" t="s">
        <v>4</v>
      </c>
      <c r="J105" s="33" t="s">
        <v>23</v>
      </c>
      <c r="K105" s="53" t="s">
        <v>407</v>
      </c>
      <c r="L105" s="46" t="s">
        <v>261</v>
      </c>
    </row>
    <row r="106" spans="1:12" ht="24" outlineLevel="1">
      <c r="A106" s="86" t="s">
        <v>273</v>
      </c>
      <c r="B106" s="69" t="s">
        <v>26</v>
      </c>
      <c r="C106" s="32" t="s">
        <v>271</v>
      </c>
      <c r="D106" s="33" t="s">
        <v>260</v>
      </c>
      <c r="E106" s="30">
        <v>46342</v>
      </c>
      <c r="F106" s="30">
        <v>46360</v>
      </c>
      <c r="G106" s="33">
        <f>IF(OR(E106="",F106=""),"",NETWORKDAYS(E106,F106,Feriados!$A$2:$A$9))</f>
        <v>14</v>
      </c>
      <c r="H106" s="78" t="s">
        <v>4</v>
      </c>
      <c r="I106" s="78" t="s">
        <v>4</v>
      </c>
      <c r="J106" s="33" t="s">
        <v>23</v>
      </c>
      <c r="K106" s="54" t="s">
        <v>408</v>
      </c>
      <c r="L106" s="46" t="s">
        <v>261</v>
      </c>
    </row>
    <row r="107" spans="1:12" ht="24" outlineLevel="1">
      <c r="A107" s="87" t="s">
        <v>276</v>
      </c>
      <c r="B107" s="70" t="s">
        <v>283</v>
      </c>
      <c r="C107" s="36" t="s">
        <v>284</v>
      </c>
      <c r="D107" s="37" t="s">
        <v>260</v>
      </c>
      <c r="E107" s="30">
        <v>46388</v>
      </c>
      <c r="F107" s="30">
        <v>46402</v>
      </c>
      <c r="G107" s="33">
        <f>IF(OR(E107="",F107=""),"",NETWORKDAYS(E107,F107,Feriados!$A$2:$A$9))</f>
        <v>10</v>
      </c>
      <c r="H107" s="78" t="s">
        <v>4</v>
      </c>
      <c r="I107" s="78" t="s">
        <v>4</v>
      </c>
      <c r="J107" s="33" t="s">
        <v>23</v>
      </c>
      <c r="K107" s="54" t="s">
        <v>409</v>
      </c>
      <c r="L107" s="46" t="s">
        <v>261</v>
      </c>
    </row>
    <row r="108" spans="1:12" s="31" customFormat="1" ht="24" outlineLevel="1">
      <c r="A108" s="87" t="s">
        <v>279</v>
      </c>
      <c r="B108" s="70"/>
      <c r="C108" s="36" t="s">
        <v>266</v>
      </c>
      <c r="D108" s="37" t="s">
        <v>260</v>
      </c>
      <c r="E108" s="30">
        <v>46329</v>
      </c>
      <c r="F108" s="30">
        <v>46339</v>
      </c>
      <c r="G108" s="33">
        <f>IF(OR(E108="",F108=""),"",NETWORKDAYS(E108,F108,Feriados!$A$2:$A$9))</f>
        <v>9</v>
      </c>
      <c r="H108" s="30"/>
      <c r="I108" s="30"/>
      <c r="J108" s="33" t="s">
        <v>23</v>
      </c>
      <c r="K108" s="53"/>
      <c r="L108" s="51" t="s">
        <v>261</v>
      </c>
    </row>
    <row r="109" spans="1:12" s="31" customFormat="1" ht="24" outlineLevel="1">
      <c r="A109" s="87" t="s">
        <v>282</v>
      </c>
      <c r="B109" s="70"/>
      <c r="C109" s="36" t="s">
        <v>268</v>
      </c>
      <c r="D109" s="37" t="s">
        <v>260</v>
      </c>
      <c r="E109" s="30">
        <v>46342</v>
      </c>
      <c r="F109" s="30">
        <v>46360</v>
      </c>
      <c r="G109" s="33">
        <f>IF(OR(E109="",F109=""),"",NETWORKDAYS(E109,F109,Feriados!$A$2:$A$9))</f>
        <v>14</v>
      </c>
      <c r="H109" s="30"/>
      <c r="I109" s="30"/>
      <c r="J109" s="33" t="s">
        <v>23</v>
      </c>
      <c r="K109" s="53" t="s">
        <v>410</v>
      </c>
      <c r="L109" s="51" t="s">
        <v>261</v>
      </c>
    </row>
    <row r="110" spans="1:12">
      <c r="A110" s="83">
        <v>7</v>
      </c>
      <c r="B110" s="66"/>
      <c r="C110" s="27" t="s">
        <v>286</v>
      </c>
      <c r="D110" s="27" t="s">
        <v>4</v>
      </c>
      <c r="E110" s="77">
        <f>MIN(E111:E128)</f>
        <v>46275</v>
      </c>
      <c r="F110" s="77">
        <f>MAX(F111:F128)</f>
        <v>46418</v>
      </c>
      <c r="G110" s="27">
        <f>IF(OR(E110="",F110=""),"",NETWORKDAYS(E110,F110,Feriados!$A$2:$A$9))</f>
        <v>97</v>
      </c>
      <c r="H110" s="77">
        <f>MIN(H111:H128)</f>
        <v>46275</v>
      </c>
      <c r="I110" s="77">
        <f>MAX(I111:I128)</f>
        <v>46275</v>
      </c>
      <c r="J110" s="27" t="s">
        <v>4</v>
      </c>
      <c r="K110" s="52" t="s">
        <v>4</v>
      </c>
      <c r="L110" s="60"/>
    </row>
    <row r="111" spans="1:12" outlineLevel="1">
      <c r="A111" s="86" t="s">
        <v>287</v>
      </c>
      <c r="B111" s="69" t="s">
        <v>20</v>
      </c>
      <c r="C111" s="32" t="s">
        <v>329</v>
      </c>
      <c r="D111" s="33" t="s">
        <v>289</v>
      </c>
      <c r="E111" s="30">
        <v>46293</v>
      </c>
      <c r="F111" s="30">
        <v>46386</v>
      </c>
      <c r="G111" s="29">
        <f>IF(OR(E111="",F111=""),"",NETWORKDAYS(E111,F111,Feriados!$A$2:$A$9))</f>
        <v>64</v>
      </c>
      <c r="H111" s="78" t="s">
        <v>4</v>
      </c>
      <c r="I111" s="78" t="s">
        <v>4</v>
      </c>
      <c r="J111" s="33" t="s">
        <v>23</v>
      </c>
      <c r="K111" s="54" t="s">
        <v>4</v>
      </c>
      <c r="L111" s="46" t="s">
        <v>296</v>
      </c>
    </row>
    <row r="112" spans="1:12" s="31" customFormat="1" outlineLevel="1">
      <c r="A112" s="87" t="s">
        <v>291</v>
      </c>
      <c r="B112" s="70" t="s">
        <v>20</v>
      </c>
      <c r="C112" s="36" t="s">
        <v>331</v>
      </c>
      <c r="D112" s="37" t="s">
        <v>326</v>
      </c>
      <c r="E112" s="30">
        <v>46307</v>
      </c>
      <c r="F112" s="30">
        <v>46386</v>
      </c>
      <c r="G112" s="29">
        <f>IF(OR(E112="",F112=""),"",NETWORKDAYS(E112,F112,Feriados!$A$2:$A$9))</f>
        <v>54</v>
      </c>
      <c r="H112" s="30" t="s">
        <v>4</v>
      </c>
      <c r="I112" s="30" t="s">
        <v>4</v>
      </c>
      <c r="J112" s="29" t="s">
        <v>23</v>
      </c>
      <c r="K112" s="53"/>
      <c r="L112" s="51" t="s">
        <v>296</v>
      </c>
    </row>
    <row r="113" spans="1:12" outlineLevel="1">
      <c r="A113" s="88" t="s">
        <v>293</v>
      </c>
      <c r="B113" s="71" t="s">
        <v>26</v>
      </c>
      <c r="C113" s="38" t="s">
        <v>292</v>
      </c>
      <c r="D113" s="39" t="s">
        <v>289</v>
      </c>
      <c r="E113" s="30">
        <v>46293</v>
      </c>
      <c r="F113" s="30">
        <v>46300</v>
      </c>
      <c r="G113" s="29">
        <f>IF(OR(E113="",F113=""),"",NETWORKDAYS(E113,F113,Feriados!$A$2:$A$9))</f>
        <v>6</v>
      </c>
      <c r="H113" s="78" t="s">
        <v>4</v>
      </c>
      <c r="I113" s="78" t="s">
        <v>4</v>
      </c>
      <c r="J113" s="33" t="s">
        <v>23</v>
      </c>
      <c r="K113" s="54"/>
      <c r="L113" s="46" t="s">
        <v>80</v>
      </c>
    </row>
    <row r="114" spans="1:12" outlineLevel="1">
      <c r="A114" s="86" t="s">
        <v>297</v>
      </c>
      <c r="B114" s="69" t="s">
        <v>26</v>
      </c>
      <c r="C114" s="32" t="s">
        <v>294</v>
      </c>
      <c r="D114" s="33" t="s">
        <v>289</v>
      </c>
      <c r="E114" s="30">
        <v>46296</v>
      </c>
      <c r="F114" s="30">
        <v>46325</v>
      </c>
      <c r="G114" s="29">
        <f>IF(OR(E114="",F114=""),"",NETWORKDAYS(E114,F114,Feriados!$A$2:$A$9))</f>
        <v>21</v>
      </c>
      <c r="H114" s="78" t="s">
        <v>4</v>
      </c>
      <c r="I114" s="78" t="s">
        <v>4</v>
      </c>
      <c r="J114" s="33" t="s">
        <v>23</v>
      </c>
      <c r="K114" s="53" t="s">
        <v>295</v>
      </c>
      <c r="L114" s="46" t="s">
        <v>296</v>
      </c>
    </row>
    <row r="115" spans="1:12" outlineLevel="1">
      <c r="A115" s="85" t="s">
        <v>300</v>
      </c>
      <c r="B115" s="68" t="s">
        <v>26</v>
      </c>
      <c r="C115" s="40" t="s">
        <v>288</v>
      </c>
      <c r="D115" s="41" t="s">
        <v>289</v>
      </c>
      <c r="E115" s="42">
        <v>46275</v>
      </c>
      <c r="F115" s="42">
        <v>46275</v>
      </c>
      <c r="G115" s="41">
        <f>IF(OR(E115="",F115=""),"",NETWORKDAYS(E115,F115,Feriados!$A$2:$A$9))</f>
        <v>1</v>
      </c>
      <c r="H115" s="81">
        <v>46275</v>
      </c>
      <c r="I115" s="81">
        <v>46275</v>
      </c>
      <c r="J115" s="44" t="s">
        <v>29</v>
      </c>
      <c r="K115" s="53"/>
      <c r="L115" s="46" t="s">
        <v>290</v>
      </c>
    </row>
    <row r="116" spans="1:12" outlineLevel="1">
      <c r="A116" s="87" t="s">
        <v>302</v>
      </c>
      <c r="B116" s="70" t="s">
        <v>20</v>
      </c>
      <c r="C116" s="36" t="s">
        <v>411</v>
      </c>
      <c r="D116" s="37" t="s">
        <v>299</v>
      </c>
      <c r="E116" s="30">
        <v>46296</v>
      </c>
      <c r="F116" s="30">
        <v>46304</v>
      </c>
      <c r="G116" s="29">
        <f>IF(OR(E116="",F116=""),"",NETWORKDAYS(E116,F116,Feriados!$A$2:$A$9))</f>
        <v>7</v>
      </c>
      <c r="H116" s="30" t="s">
        <v>4</v>
      </c>
      <c r="I116" s="30" t="s">
        <v>4</v>
      </c>
      <c r="J116" s="29" t="s">
        <v>23</v>
      </c>
      <c r="K116" s="53" t="s">
        <v>4</v>
      </c>
      <c r="L116" s="46" t="s">
        <v>290</v>
      </c>
    </row>
    <row r="117" spans="1:12" outlineLevel="1">
      <c r="A117" s="87" t="s">
        <v>304</v>
      </c>
      <c r="B117" s="70" t="s">
        <v>26</v>
      </c>
      <c r="C117" s="36" t="s">
        <v>301</v>
      </c>
      <c r="D117" s="37" t="s">
        <v>289</v>
      </c>
      <c r="E117" s="30">
        <v>46296</v>
      </c>
      <c r="F117" s="30">
        <v>46304</v>
      </c>
      <c r="G117" s="29">
        <f>IF(OR(E117="",F117=""),"",NETWORKDAYS(E117,F117,Feriados!$A$2:$A$9))</f>
        <v>7</v>
      </c>
      <c r="H117" s="30" t="s">
        <v>4</v>
      </c>
      <c r="I117" s="30" t="s">
        <v>4</v>
      </c>
      <c r="J117" s="29" t="s">
        <v>23</v>
      </c>
      <c r="K117" s="53"/>
      <c r="L117" s="46" t="s">
        <v>290</v>
      </c>
    </row>
    <row r="118" spans="1:12" outlineLevel="1">
      <c r="A118" s="87" t="s">
        <v>306</v>
      </c>
      <c r="B118" s="70" t="s">
        <v>26</v>
      </c>
      <c r="C118" s="36" t="s">
        <v>325</v>
      </c>
      <c r="D118" s="37" t="s">
        <v>326</v>
      </c>
      <c r="E118" s="30">
        <v>46372</v>
      </c>
      <c r="F118" s="30">
        <v>46386</v>
      </c>
      <c r="G118" s="29">
        <f>IF(OR(E118="",F118=""),"",NETWORKDAYS(E118,F118,Feriados!$A$2:$A$9))</f>
        <v>10</v>
      </c>
      <c r="H118" s="30" t="s">
        <v>4</v>
      </c>
      <c r="I118" s="30" t="s">
        <v>4</v>
      </c>
      <c r="J118" s="29" t="s">
        <v>23</v>
      </c>
      <c r="K118" s="53" t="s">
        <v>327</v>
      </c>
      <c r="L118" s="46" t="s">
        <v>296</v>
      </c>
    </row>
    <row r="119" spans="1:12" outlineLevel="1">
      <c r="A119" s="87" t="s">
        <v>309</v>
      </c>
      <c r="B119" s="70" t="s">
        <v>26</v>
      </c>
      <c r="C119" s="36" t="s">
        <v>303</v>
      </c>
      <c r="D119" s="37" t="s">
        <v>289</v>
      </c>
      <c r="E119" s="30">
        <v>46293</v>
      </c>
      <c r="F119" s="30">
        <v>46311</v>
      </c>
      <c r="G119" s="29">
        <f>IF(OR(E119="",F119=""),"",NETWORKDAYS(E119,F119,Feriados!$A$2:$A$9))</f>
        <v>14</v>
      </c>
      <c r="H119" s="78" t="s">
        <v>4</v>
      </c>
      <c r="I119" s="78" t="s">
        <v>4</v>
      </c>
      <c r="J119" s="33" t="s">
        <v>23</v>
      </c>
      <c r="K119" s="54" t="s">
        <v>4</v>
      </c>
      <c r="L119" s="46" t="s">
        <v>290</v>
      </c>
    </row>
    <row r="120" spans="1:12" outlineLevel="1">
      <c r="A120" s="87" t="s">
        <v>312</v>
      </c>
      <c r="B120" s="70" t="s">
        <v>26</v>
      </c>
      <c r="C120" s="36" t="s">
        <v>412</v>
      </c>
      <c r="D120" s="37" t="s">
        <v>289</v>
      </c>
      <c r="E120" s="30">
        <v>46314</v>
      </c>
      <c r="F120" s="30">
        <v>46318</v>
      </c>
      <c r="G120" s="29">
        <f>IF(OR(E120="",F120=""),"",NETWORKDAYS(E120,F120,Feriados!$A$2:$A$9))</f>
        <v>5</v>
      </c>
      <c r="H120" s="78" t="s">
        <v>4</v>
      </c>
      <c r="I120" s="78" t="s">
        <v>4</v>
      </c>
      <c r="J120" s="33" t="s">
        <v>23</v>
      </c>
      <c r="K120" s="54" t="s">
        <v>4</v>
      </c>
      <c r="L120" s="46" t="s">
        <v>290</v>
      </c>
    </row>
    <row r="121" spans="1:12" outlineLevel="1">
      <c r="A121" s="87" t="s">
        <v>315</v>
      </c>
      <c r="B121" s="70" t="s">
        <v>26</v>
      </c>
      <c r="C121" s="36" t="s">
        <v>307</v>
      </c>
      <c r="D121" s="37" t="s">
        <v>289</v>
      </c>
      <c r="E121" s="30">
        <v>46328</v>
      </c>
      <c r="F121" s="30">
        <v>46356</v>
      </c>
      <c r="G121" s="33">
        <f>IF(OR(E121="",F121=""),"",NETWORKDAYS(E121,F121,Feriados!$A$2:$A$9))</f>
        <v>19</v>
      </c>
      <c r="H121" s="78" t="s">
        <v>4</v>
      </c>
      <c r="I121" s="78" t="s">
        <v>4</v>
      </c>
      <c r="J121" s="33" t="s">
        <v>23</v>
      </c>
      <c r="K121" s="54" t="s">
        <v>308</v>
      </c>
      <c r="L121" s="46" t="s">
        <v>290</v>
      </c>
    </row>
    <row r="122" spans="1:12" outlineLevel="1">
      <c r="A122" s="87" t="s">
        <v>318</v>
      </c>
      <c r="B122" s="70"/>
      <c r="C122" s="36" t="s">
        <v>310</v>
      </c>
      <c r="D122" s="37" t="s">
        <v>289</v>
      </c>
      <c r="E122" s="30">
        <v>46327</v>
      </c>
      <c r="F122" s="30">
        <v>46356</v>
      </c>
      <c r="G122" s="33">
        <f>IF(OR(E122="",F122=""),"",NETWORKDAYS(E122,F122,Feriados!$A$2:$A$9))</f>
        <v>19</v>
      </c>
      <c r="H122" s="78" t="s">
        <v>4</v>
      </c>
      <c r="I122" s="78" t="s">
        <v>4</v>
      </c>
      <c r="J122" s="33" t="s">
        <v>23</v>
      </c>
      <c r="K122" s="54" t="s">
        <v>311</v>
      </c>
      <c r="L122" s="46" t="s">
        <v>290</v>
      </c>
    </row>
    <row r="123" spans="1:12" outlineLevel="1">
      <c r="A123" s="87" t="s">
        <v>320</v>
      </c>
      <c r="B123" s="70"/>
      <c r="C123" s="36" t="s">
        <v>313</v>
      </c>
      <c r="D123" s="37" t="s">
        <v>289</v>
      </c>
      <c r="E123" s="30">
        <v>46357</v>
      </c>
      <c r="F123" s="30">
        <v>46387</v>
      </c>
      <c r="G123" s="33">
        <f>IF(OR(E123="",F123=""),"",NETWORKDAYS(E123,F123,Feriados!$A$2:$A$9))</f>
        <v>22</v>
      </c>
      <c r="H123" s="78" t="s">
        <v>4</v>
      </c>
      <c r="I123" s="78" t="s">
        <v>4</v>
      </c>
      <c r="J123" s="33" t="s">
        <v>23</v>
      </c>
      <c r="K123" s="54" t="s">
        <v>314</v>
      </c>
      <c r="L123" s="46" t="s">
        <v>290</v>
      </c>
    </row>
    <row r="124" spans="1:12" outlineLevel="1">
      <c r="A124" s="86" t="s">
        <v>322</v>
      </c>
      <c r="B124" s="69" t="s">
        <v>26</v>
      </c>
      <c r="C124" s="32" t="s">
        <v>413</v>
      </c>
      <c r="D124" s="33" t="s">
        <v>289</v>
      </c>
      <c r="E124" s="30">
        <v>46327</v>
      </c>
      <c r="F124" s="30">
        <v>46418</v>
      </c>
      <c r="G124" s="33">
        <f>IF(OR(E124="",F124=""),"",NETWORKDAYS(E124,F124,Feriados!$A$2:$A$9))</f>
        <v>61</v>
      </c>
      <c r="H124" s="78" t="s">
        <v>4</v>
      </c>
      <c r="I124" s="78" t="s">
        <v>4</v>
      </c>
      <c r="J124" s="33" t="s">
        <v>23</v>
      </c>
      <c r="K124" s="54" t="s">
        <v>317</v>
      </c>
      <c r="L124" s="46" t="s">
        <v>290</v>
      </c>
    </row>
    <row r="125" spans="1:12" outlineLevel="1">
      <c r="A125" s="87" t="s">
        <v>324</v>
      </c>
      <c r="B125" s="70" t="s">
        <v>26</v>
      </c>
      <c r="C125" s="36" t="s">
        <v>414</v>
      </c>
      <c r="D125" s="37" t="s">
        <v>22</v>
      </c>
      <c r="E125" s="30">
        <v>46304</v>
      </c>
      <c r="F125" s="30">
        <v>46304</v>
      </c>
      <c r="G125" s="29">
        <f>IF(OR(E125="",F125=""),"",NETWORKDAYS(E125,F125,Feriados!$A$2:$A$9))</f>
        <v>1</v>
      </c>
      <c r="H125" s="30" t="s">
        <v>4</v>
      </c>
      <c r="I125" s="30" t="s">
        <v>4</v>
      </c>
      <c r="J125" s="29" t="s">
        <v>23</v>
      </c>
      <c r="K125" s="53" t="s">
        <v>4</v>
      </c>
      <c r="L125" s="46" t="s">
        <v>296</v>
      </c>
    </row>
    <row r="126" spans="1:12" outlineLevel="1">
      <c r="A126" s="87" t="s">
        <v>328</v>
      </c>
      <c r="B126" s="70" t="s">
        <v>26</v>
      </c>
      <c r="C126" s="36" t="s">
        <v>415</v>
      </c>
      <c r="D126" s="37" t="s">
        <v>125</v>
      </c>
      <c r="E126" s="30">
        <v>46357</v>
      </c>
      <c r="F126" s="30">
        <v>46387</v>
      </c>
      <c r="G126" s="33">
        <f>IF(OR(E126="",F126=""),"",NETWORKDAYS(E126,F126,Feriados!$A$2:$A$9))</f>
        <v>22</v>
      </c>
      <c r="H126" s="78" t="s">
        <v>4</v>
      </c>
      <c r="I126" s="78" t="s">
        <v>4</v>
      </c>
      <c r="J126" s="33" t="s">
        <v>23</v>
      </c>
      <c r="K126" s="54" t="s">
        <v>416</v>
      </c>
      <c r="L126" s="46" t="s">
        <v>80</v>
      </c>
    </row>
    <row r="127" spans="1:12" outlineLevel="1">
      <c r="A127" s="84" t="s">
        <v>330</v>
      </c>
      <c r="B127" s="67" t="s">
        <v>26</v>
      </c>
      <c r="C127" s="28" t="s">
        <v>321</v>
      </c>
      <c r="D127" s="29" t="s">
        <v>70</v>
      </c>
      <c r="E127" s="30">
        <v>46391</v>
      </c>
      <c r="F127" s="30">
        <v>46402</v>
      </c>
      <c r="G127" s="29">
        <f>IF(OR(E127="",F127=""),"",NETWORKDAYS(E127,F127,Feriados!$A$2:$A$9))</f>
        <v>10</v>
      </c>
      <c r="H127" s="30" t="s">
        <v>4</v>
      </c>
      <c r="I127" s="30" t="s">
        <v>4</v>
      </c>
      <c r="J127" s="29" t="s">
        <v>23</v>
      </c>
      <c r="K127" s="53"/>
      <c r="L127" s="46" t="s">
        <v>56</v>
      </c>
    </row>
    <row r="128" spans="1:12" outlineLevel="1">
      <c r="A128" s="86" t="s">
        <v>417</v>
      </c>
      <c r="B128" s="69" t="s">
        <v>26</v>
      </c>
      <c r="C128" s="32" t="s">
        <v>418</v>
      </c>
      <c r="D128" s="33" t="s">
        <v>125</v>
      </c>
      <c r="E128" s="30">
        <v>46296</v>
      </c>
      <c r="F128" s="30">
        <v>46325</v>
      </c>
      <c r="G128" s="33">
        <f>IF(OR(E128="",F128=""),"",NETWORKDAYS(E128,F128,Feriados!$A$2:$A$9))</f>
        <v>21</v>
      </c>
      <c r="H128" s="78" t="s">
        <v>4</v>
      </c>
      <c r="I128" s="78" t="s">
        <v>4</v>
      </c>
      <c r="J128" s="33" t="s">
        <v>23</v>
      </c>
      <c r="K128" s="53"/>
      <c r="L128" s="46" t="s">
        <v>296</v>
      </c>
    </row>
    <row r="129" spans="1:12">
      <c r="A129" s="83">
        <v>8</v>
      </c>
      <c r="B129" s="66"/>
      <c r="C129" s="27" t="s">
        <v>332</v>
      </c>
      <c r="D129" s="27" t="s">
        <v>4</v>
      </c>
      <c r="E129" s="77">
        <f>MIN(E130:E132)</f>
        <v>46308</v>
      </c>
      <c r="F129" s="77">
        <f>MAX(F130:F132)</f>
        <v>46329</v>
      </c>
      <c r="G129" s="27">
        <f>IF(OR(E129="",F129=""),"",NETWORKDAYS(E129,F129,Feriados!$A$2:$A$9))</f>
        <v>15</v>
      </c>
      <c r="H129" s="77" t="s">
        <v>4</v>
      </c>
      <c r="I129" s="77" t="s">
        <v>4</v>
      </c>
      <c r="J129" s="27" t="s">
        <v>4</v>
      </c>
      <c r="K129" s="52"/>
      <c r="L129" s="60"/>
    </row>
    <row r="130" spans="1:12" outlineLevel="1">
      <c r="A130" s="87" t="s">
        <v>333</v>
      </c>
      <c r="B130" s="70" t="s">
        <v>26</v>
      </c>
      <c r="C130" s="34" t="s">
        <v>334</v>
      </c>
      <c r="D130" s="37" t="s">
        <v>335</v>
      </c>
      <c r="E130" s="30">
        <v>46308</v>
      </c>
      <c r="F130" s="30">
        <v>46325</v>
      </c>
      <c r="G130" s="29">
        <f>IF(OR(E130="",F130=""),"",NETWORKDAYS(E130,F130,Feriados!$A$2:$A$9))</f>
        <v>14</v>
      </c>
      <c r="H130" s="30" t="s">
        <v>4</v>
      </c>
      <c r="I130" s="30" t="s">
        <v>4</v>
      </c>
      <c r="J130" s="29" t="s">
        <v>23</v>
      </c>
      <c r="K130" s="53" t="s">
        <v>4</v>
      </c>
      <c r="L130" s="46" t="s">
        <v>181</v>
      </c>
    </row>
    <row r="131" spans="1:12" outlineLevel="1">
      <c r="A131" s="87" t="s">
        <v>336</v>
      </c>
      <c r="B131" s="70" t="s">
        <v>26</v>
      </c>
      <c r="C131" s="36" t="s">
        <v>337</v>
      </c>
      <c r="D131" s="37" t="s">
        <v>289</v>
      </c>
      <c r="E131" s="30">
        <v>46308</v>
      </c>
      <c r="F131" s="30">
        <v>46309</v>
      </c>
      <c r="G131" s="29">
        <f>IF(OR(E131="",F131=""),"",NETWORKDAYS(E131,F131,Feriados!$A$2:$A$9))</f>
        <v>2</v>
      </c>
      <c r="H131" s="30"/>
      <c r="I131" s="30"/>
      <c r="J131" s="29" t="s">
        <v>23</v>
      </c>
      <c r="K131" s="53" t="s">
        <v>338</v>
      </c>
      <c r="L131" s="46" t="s">
        <v>181</v>
      </c>
    </row>
    <row r="132" spans="1:12" outlineLevel="1">
      <c r="A132" s="87" t="s">
        <v>339</v>
      </c>
      <c r="B132" s="70" t="s">
        <v>26</v>
      </c>
      <c r="C132" s="36" t="s">
        <v>340</v>
      </c>
      <c r="D132" s="37" t="s">
        <v>335</v>
      </c>
      <c r="E132" s="30">
        <v>46329</v>
      </c>
      <c r="F132" s="30">
        <v>46329</v>
      </c>
      <c r="G132" s="29">
        <f>IF(OR(E132="",F132=""),"",NETWORKDAYS(E132,F132,Feriados!$A$2:$A$9))</f>
        <v>1</v>
      </c>
      <c r="H132" s="30" t="s">
        <v>4</v>
      </c>
      <c r="I132" s="30" t="s">
        <v>4</v>
      </c>
      <c r="J132" s="29" t="s">
        <v>23</v>
      </c>
      <c r="K132" s="53" t="s">
        <v>4</v>
      </c>
      <c r="L132" s="46" t="s">
        <v>181</v>
      </c>
    </row>
    <row r="133" spans="1:12">
      <c r="A133" s="72">
        <v>9</v>
      </c>
      <c r="B133" s="72"/>
      <c r="C133" s="49" t="s">
        <v>341</v>
      </c>
      <c r="D133" s="49" t="s">
        <v>4</v>
      </c>
      <c r="E133" s="79">
        <f>MIN(E134:E137)</f>
        <v>46308</v>
      </c>
      <c r="F133" s="79">
        <f>MAX(F134:F137)</f>
        <v>46356</v>
      </c>
      <c r="G133" s="50">
        <f>IF(OR(E133="",F133=""),"",NETWORKDAYS(E133,F133,Feriados!$A$2:$A$9))</f>
        <v>33</v>
      </c>
      <c r="H133" s="79" t="s">
        <v>4</v>
      </c>
      <c r="I133" s="79" t="s">
        <v>4</v>
      </c>
      <c r="J133" s="49" t="s">
        <v>4</v>
      </c>
      <c r="K133" s="58"/>
      <c r="L133" s="60"/>
    </row>
    <row r="134" spans="1:12" ht="24" outlineLevel="1">
      <c r="A134" s="87" t="s">
        <v>342</v>
      </c>
      <c r="B134" s="70" t="s">
        <v>26</v>
      </c>
      <c r="C134" s="36" t="s">
        <v>343</v>
      </c>
      <c r="D134" s="37" t="s">
        <v>344</v>
      </c>
      <c r="E134" s="30">
        <v>46308</v>
      </c>
      <c r="F134" s="30">
        <v>46311</v>
      </c>
      <c r="G134" s="29">
        <f>IF(OR(E134="",F134=""),"",NETWORKDAYS(E134,F134,Feriados!$A$2:$A$9))</f>
        <v>4</v>
      </c>
      <c r="H134" s="30" t="s">
        <v>4</v>
      </c>
      <c r="I134" s="30" t="s">
        <v>4</v>
      </c>
      <c r="J134" s="29" t="s">
        <v>23</v>
      </c>
      <c r="K134" s="53" t="s">
        <v>345</v>
      </c>
      <c r="L134" s="46" t="s">
        <v>346</v>
      </c>
    </row>
    <row r="135" spans="1:12" ht="24" outlineLevel="1">
      <c r="A135" s="87" t="s">
        <v>347</v>
      </c>
      <c r="B135" s="70" t="s">
        <v>26</v>
      </c>
      <c r="C135" s="36" t="s">
        <v>419</v>
      </c>
      <c r="D135" s="37" t="s">
        <v>420</v>
      </c>
      <c r="E135" s="30">
        <v>46314</v>
      </c>
      <c r="F135" s="30">
        <v>46315</v>
      </c>
      <c r="G135" s="29">
        <f>IF(OR(E135="",F135=""),"",NETWORKDAYS(E135,F135,Feriados!$A$2:$A$9))</f>
        <v>2</v>
      </c>
      <c r="H135" s="30"/>
      <c r="I135" s="30"/>
      <c r="J135" s="29" t="s">
        <v>23</v>
      </c>
      <c r="K135" s="53" t="s">
        <v>421</v>
      </c>
      <c r="L135" s="46" t="s">
        <v>346</v>
      </c>
    </row>
    <row r="136" spans="1:12" outlineLevel="1">
      <c r="A136" s="87" t="s">
        <v>350</v>
      </c>
      <c r="B136" s="70" t="s">
        <v>26</v>
      </c>
      <c r="C136" s="36" t="s">
        <v>348</v>
      </c>
      <c r="D136" s="37" t="s">
        <v>349</v>
      </c>
      <c r="E136" s="30">
        <v>46316</v>
      </c>
      <c r="F136" s="30">
        <v>46325</v>
      </c>
      <c r="G136" s="29">
        <f>IF(OR(E136="",F136=""),"",NETWORKDAYS(E136,F136,Feriados!$A$2:$A$9))</f>
        <v>8</v>
      </c>
      <c r="H136" s="30"/>
      <c r="I136" s="30"/>
      <c r="J136" s="29"/>
      <c r="K136" s="53"/>
      <c r="L136" s="46"/>
    </row>
    <row r="137" spans="1:12" ht="24" outlineLevel="1">
      <c r="A137" s="87" t="s">
        <v>422</v>
      </c>
      <c r="B137" s="70" t="s">
        <v>26</v>
      </c>
      <c r="C137" s="36" t="s">
        <v>351</v>
      </c>
      <c r="D137" s="37" t="s">
        <v>352</v>
      </c>
      <c r="E137" s="30">
        <v>46335</v>
      </c>
      <c r="F137" s="30">
        <v>46356</v>
      </c>
      <c r="G137" s="29">
        <f>IF(OR(E137="",F137=""),"",NETWORKDAYS(E137,F137,Feriados!$A$2:$A$9))</f>
        <v>15</v>
      </c>
      <c r="H137" s="30" t="s">
        <v>4</v>
      </c>
      <c r="I137" s="30" t="s">
        <v>4</v>
      </c>
      <c r="J137" s="29" t="s">
        <v>23</v>
      </c>
      <c r="K137" s="53" t="s">
        <v>353</v>
      </c>
      <c r="L137" s="46" t="s">
        <v>346</v>
      </c>
    </row>
  </sheetData>
  <autoFilter ref="A5:L5" xr:uid="{366051C6-2F32-456F-9D1E-8EB7D6DC3B84}"/>
  <mergeCells count="1">
    <mergeCell ref="H4:I4"/>
  </mergeCells>
  <conditionalFormatting sqref="F6:F132">
    <cfRule type="cellIs" dxfId="5" priority="21" operator="lessThan">
      <formula>TODAY()</formula>
    </cfRule>
  </conditionalFormatting>
  <conditionalFormatting sqref="F6:F132">
    <cfRule type="expression" dxfId="4" priority="20">
      <formula>J6="Concluído"</formula>
    </cfRule>
  </conditionalFormatting>
  <conditionalFormatting sqref="F133:F137">
    <cfRule type="cellIs" dxfId="3" priority="18" operator="lessThan">
      <formula>TODAY()</formula>
    </cfRule>
  </conditionalFormatting>
  <conditionalFormatting sqref="F133:F137">
    <cfRule type="expression" dxfId="2" priority="17">
      <formula>J133="Concluído"</formula>
    </cfRule>
  </conditionalFormatting>
  <conditionalFormatting sqref="I80">
    <cfRule type="cellIs" dxfId="1" priority="6" operator="lessThan">
      <formula>TODAY()</formula>
    </cfRule>
  </conditionalFormatting>
  <conditionalFormatting sqref="I80">
    <cfRule type="expression" dxfId="0" priority="5">
      <formula>M80="Concluído"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zoomScaleNormal="100" workbookViewId="0">
      <pane ySplit="4" topLeftCell="A34" activePane="bottomLeft" state="frozen"/>
      <selection pane="bottomLeft" activeCell="F54" sqref="F54"/>
    </sheetView>
  </sheetViews>
  <sheetFormatPr defaultColWidth="8.7109375" defaultRowHeight="15"/>
  <cols>
    <col min="1" max="1" width="18" customWidth="1"/>
    <col min="2" max="2" width="16" customWidth="1"/>
    <col min="3" max="3" width="18" customWidth="1"/>
    <col min="4" max="4" width="95" customWidth="1"/>
    <col min="5" max="5" width="11" customWidth="1"/>
  </cols>
  <sheetData>
    <row r="1" spans="1:5" ht="18">
      <c r="A1" s="6" t="s">
        <v>423</v>
      </c>
    </row>
    <row r="2" spans="1:5">
      <c r="A2" s="3" t="s">
        <v>424</v>
      </c>
    </row>
    <row r="4" spans="1:5">
      <c r="A4" s="4" t="s">
        <v>425</v>
      </c>
      <c r="B4" s="4" t="s">
        <v>426</v>
      </c>
      <c r="C4" s="4" t="s">
        <v>427</v>
      </c>
      <c r="D4" s="4" t="s">
        <v>428</v>
      </c>
      <c r="E4" s="4" t="s">
        <v>429</v>
      </c>
    </row>
    <row r="5" spans="1:5">
      <c r="A5" s="5" t="s">
        <v>25</v>
      </c>
      <c r="B5" s="5" t="s">
        <v>25</v>
      </c>
      <c r="C5" s="7" t="s">
        <v>430</v>
      </c>
      <c r="D5" s="5" t="s">
        <v>431</v>
      </c>
      <c r="E5" s="5" t="s">
        <v>432</v>
      </c>
    </row>
    <row r="6" spans="1:5">
      <c r="A6" s="5" t="s">
        <v>57</v>
      </c>
      <c r="B6" s="5" t="s">
        <v>57</v>
      </c>
      <c r="C6" s="7" t="s">
        <v>430</v>
      </c>
      <c r="D6" s="5" t="s">
        <v>433</v>
      </c>
      <c r="E6" s="5" t="s">
        <v>432</v>
      </c>
    </row>
    <row r="7" spans="1:5">
      <c r="A7" s="5" t="s">
        <v>61</v>
      </c>
      <c r="B7" s="5" t="s">
        <v>61</v>
      </c>
      <c r="C7" s="7" t="s">
        <v>430</v>
      </c>
      <c r="D7" s="5" t="s">
        <v>434</v>
      </c>
      <c r="E7" s="5" t="s">
        <v>432</v>
      </c>
    </row>
    <row r="8" spans="1:5">
      <c r="A8" s="5" t="s">
        <v>71</v>
      </c>
      <c r="B8" s="5"/>
      <c r="C8" s="8" t="s">
        <v>435</v>
      </c>
      <c r="D8" s="5" t="s">
        <v>436</v>
      </c>
      <c r="E8" s="5" t="s">
        <v>432</v>
      </c>
    </row>
    <row r="9" spans="1:5">
      <c r="A9" s="5" t="s">
        <v>73</v>
      </c>
      <c r="B9" s="5" t="s">
        <v>71</v>
      </c>
      <c r="C9" s="7" t="s">
        <v>430</v>
      </c>
      <c r="D9" s="5" t="s">
        <v>437</v>
      </c>
      <c r="E9" s="5" t="s">
        <v>432</v>
      </c>
    </row>
    <row r="10" spans="1:5">
      <c r="A10" s="5" t="s">
        <v>81</v>
      </c>
      <c r="B10" s="5" t="s">
        <v>77</v>
      </c>
      <c r="C10" s="7" t="s">
        <v>430</v>
      </c>
      <c r="D10" s="5" t="s">
        <v>438</v>
      </c>
      <c r="E10" s="5" t="s">
        <v>432</v>
      </c>
    </row>
    <row r="11" spans="1:5">
      <c r="A11" s="5" t="s">
        <v>90</v>
      </c>
      <c r="B11" s="5" t="s">
        <v>88</v>
      </c>
      <c r="C11" s="7" t="s">
        <v>430</v>
      </c>
      <c r="D11" s="5" t="s">
        <v>439</v>
      </c>
      <c r="E11" s="5" t="s">
        <v>432</v>
      </c>
    </row>
    <row r="12" spans="1:5">
      <c r="A12" s="5" t="s">
        <v>94</v>
      </c>
      <c r="B12" s="5" t="s">
        <v>90</v>
      </c>
      <c r="C12" s="7" t="s">
        <v>430</v>
      </c>
      <c r="D12" s="5" t="s">
        <v>440</v>
      </c>
      <c r="E12" s="5" t="s">
        <v>432</v>
      </c>
    </row>
    <row r="13" spans="1:5">
      <c r="A13" s="5" t="s">
        <v>100</v>
      </c>
      <c r="B13" s="5" t="s">
        <v>94</v>
      </c>
      <c r="C13" s="7" t="s">
        <v>430</v>
      </c>
      <c r="D13" s="5" t="s">
        <v>441</v>
      </c>
      <c r="E13" s="5" t="s">
        <v>432</v>
      </c>
    </row>
    <row r="14" spans="1:5">
      <c r="A14" s="5" t="s">
        <v>103</v>
      </c>
      <c r="B14" s="5"/>
      <c r="C14" s="8" t="s">
        <v>435</v>
      </c>
      <c r="D14" s="5" t="s">
        <v>442</v>
      </c>
      <c r="E14" s="5" t="s">
        <v>432</v>
      </c>
    </row>
    <row r="15" spans="1:5">
      <c r="A15" s="5" t="s">
        <v>106</v>
      </c>
      <c r="B15" s="5" t="s">
        <v>100</v>
      </c>
      <c r="C15" s="7" t="s">
        <v>430</v>
      </c>
      <c r="D15" s="5" t="s">
        <v>443</v>
      </c>
      <c r="E15" s="5" t="s">
        <v>432</v>
      </c>
    </row>
    <row r="16" spans="1:5" ht="25.5">
      <c r="A16" s="5" t="s">
        <v>444</v>
      </c>
      <c r="B16" s="5" t="s">
        <v>445</v>
      </c>
      <c r="C16" s="5" t="s">
        <v>446</v>
      </c>
      <c r="D16" s="5" t="s">
        <v>447</v>
      </c>
      <c r="E16" s="5" t="s">
        <v>432</v>
      </c>
    </row>
    <row r="17" spans="1:5">
      <c r="A17" s="5" t="s">
        <v>168</v>
      </c>
      <c r="B17" s="5" t="s">
        <v>168</v>
      </c>
      <c r="C17" s="7" t="s">
        <v>430</v>
      </c>
      <c r="D17" s="5" t="s">
        <v>448</v>
      </c>
      <c r="E17" s="5" t="s">
        <v>432</v>
      </c>
    </row>
    <row r="18" spans="1:5">
      <c r="A18" s="5" t="s">
        <v>170</v>
      </c>
      <c r="B18" s="5" t="s">
        <v>170</v>
      </c>
      <c r="C18" s="7" t="s">
        <v>430</v>
      </c>
      <c r="D18" s="5" t="s">
        <v>449</v>
      </c>
      <c r="E18" s="5" t="s">
        <v>432</v>
      </c>
    </row>
    <row r="19" spans="1:5">
      <c r="A19" s="5" t="s">
        <v>320</v>
      </c>
      <c r="B19" s="5" t="s">
        <v>174</v>
      </c>
      <c r="C19" s="9" t="s">
        <v>450</v>
      </c>
      <c r="D19" s="5" t="s">
        <v>451</v>
      </c>
      <c r="E19" s="5" t="s">
        <v>432</v>
      </c>
    </row>
    <row r="20" spans="1:5">
      <c r="A20" s="5" t="s">
        <v>452</v>
      </c>
      <c r="B20" s="5" t="s">
        <v>178</v>
      </c>
      <c r="C20" s="10" t="s">
        <v>452</v>
      </c>
      <c r="D20" s="5" t="s">
        <v>453</v>
      </c>
      <c r="E20" s="5" t="s">
        <v>432</v>
      </c>
    </row>
    <row r="21" spans="1:5">
      <c r="A21" s="5" t="s">
        <v>178</v>
      </c>
      <c r="B21" s="5" t="s">
        <v>182</v>
      </c>
      <c r="C21" s="7" t="s">
        <v>430</v>
      </c>
      <c r="D21" s="5" t="s">
        <v>454</v>
      </c>
      <c r="E21" s="5" t="s">
        <v>432</v>
      </c>
    </row>
    <row r="22" spans="1:5">
      <c r="A22" s="5" t="s">
        <v>452</v>
      </c>
      <c r="B22" s="5" t="s">
        <v>189</v>
      </c>
      <c r="C22" s="10" t="s">
        <v>452</v>
      </c>
      <c r="D22" s="5" t="s">
        <v>455</v>
      </c>
      <c r="E22" s="5" t="s">
        <v>432</v>
      </c>
    </row>
    <row r="23" spans="1:5">
      <c r="A23" s="5" t="s">
        <v>452</v>
      </c>
      <c r="B23" s="5" t="s">
        <v>192</v>
      </c>
      <c r="C23" s="10" t="s">
        <v>452</v>
      </c>
      <c r="D23" s="5" t="s">
        <v>456</v>
      </c>
      <c r="E23" s="5" t="s">
        <v>432</v>
      </c>
    </row>
    <row r="24" spans="1:5">
      <c r="A24" s="5" t="s">
        <v>452</v>
      </c>
      <c r="B24" s="5" t="s">
        <v>199</v>
      </c>
      <c r="C24" s="10" t="s">
        <v>452</v>
      </c>
      <c r="D24" s="5" t="s">
        <v>457</v>
      </c>
      <c r="E24" s="5" t="s">
        <v>432</v>
      </c>
    </row>
    <row r="25" spans="1:5">
      <c r="A25" s="5" t="s">
        <v>189</v>
      </c>
      <c r="B25" s="5" t="s">
        <v>395</v>
      </c>
      <c r="C25" s="5" t="s">
        <v>458</v>
      </c>
      <c r="D25" s="5" t="s">
        <v>459</v>
      </c>
      <c r="E25" s="5" t="s">
        <v>432</v>
      </c>
    </row>
    <row r="26" spans="1:5">
      <c r="A26" s="5" t="s">
        <v>452</v>
      </c>
      <c r="B26" s="5" t="s">
        <v>460</v>
      </c>
      <c r="C26" s="10" t="s">
        <v>452</v>
      </c>
      <c r="D26" s="5" t="s">
        <v>461</v>
      </c>
      <c r="E26" s="5" t="s">
        <v>432</v>
      </c>
    </row>
    <row r="27" spans="1:5">
      <c r="A27" s="5" t="s">
        <v>452</v>
      </c>
      <c r="B27" s="5" t="s">
        <v>462</v>
      </c>
      <c r="C27" s="10" t="s">
        <v>452</v>
      </c>
      <c r="D27" s="5" t="s">
        <v>463</v>
      </c>
      <c r="E27" s="5" t="s">
        <v>432</v>
      </c>
    </row>
    <row r="28" spans="1:5">
      <c r="A28" s="5" t="s">
        <v>452</v>
      </c>
      <c r="B28" s="5" t="s">
        <v>464</v>
      </c>
      <c r="C28" s="10" t="s">
        <v>452</v>
      </c>
      <c r="D28" s="5" t="s">
        <v>465</v>
      </c>
      <c r="E28" s="5" t="s">
        <v>432</v>
      </c>
    </row>
    <row r="29" spans="1:5" ht="25.5">
      <c r="A29" s="5" t="s">
        <v>228</v>
      </c>
      <c r="B29" s="5" t="s">
        <v>466</v>
      </c>
      <c r="C29" s="9" t="s">
        <v>467</v>
      </c>
      <c r="D29" s="5" t="s">
        <v>468</v>
      </c>
      <c r="E29" s="5" t="s">
        <v>432</v>
      </c>
    </row>
    <row r="30" spans="1:5">
      <c r="A30" s="5" t="s">
        <v>452</v>
      </c>
      <c r="B30" s="5" t="s">
        <v>469</v>
      </c>
      <c r="C30" s="10" t="s">
        <v>452</v>
      </c>
      <c r="D30" s="5" t="s">
        <v>470</v>
      </c>
      <c r="E30" s="5" t="s">
        <v>432</v>
      </c>
    </row>
    <row r="31" spans="1:5">
      <c r="A31" s="5" t="s">
        <v>452</v>
      </c>
      <c r="B31" s="5" t="s">
        <v>471</v>
      </c>
      <c r="C31" s="10" t="s">
        <v>452</v>
      </c>
      <c r="D31" s="5" t="s">
        <v>472</v>
      </c>
      <c r="E31" s="5" t="s">
        <v>432</v>
      </c>
    </row>
    <row r="32" spans="1:5">
      <c r="A32" s="5" t="s">
        <v>195</v>
      </c>
      <c r="B32" s="5" t="s">
        <v>473</v>
      </c>
      <c r="C32" s="7" t="s">
        <v>430</v>
      </c>
      <c r="D32" s="5" t="s">
        <v>474</v>
      </c>
      <c r="E32" s="5" t="s">
        <v>432</v>
      </c>
    </row>
    <row r="33" spans="1:5">
      <c r="A33" s="5" t="s">
        <v>475</v>
      </c>
      <c r="B33" s="5" t="s">
        <v>475</v>
      </c>
      <c r="C33" s="7" t="s">
        <v>430</v>
      </c>
      <c r="D33" s="5" t="s">
        <v>476</v>
      </c>
      <c r="E33" s="5" t="s">
        <v>432</v>
      </c>
    </row>
    <row r="34" spans="1:5">
      <c r="A34" s="5" t="s">
        <v>287</v>
      </c>
      <c r="B34" s="5" t="s">
        <v>287</v>
      </c>
      <c r="C34" s="7" t="s">
        <v>430</v>
      </c>
      <c r="D34" s="5" t="s">
        <v>477</v>
      </c>
      <c r="E34" s="5" t="s">
        <v>432</v>
      </c>
    </row>
    <row r="35" spans="1:5">
      <c r="A35" s="5" t="s">
        <v>291</v>
      </c>
      <c r="B35" s="5"/>
      <c r="C35" s="8" t="s">
        <v>435</v>
      </c>
      <c r="D35" s="5" t="s">
        <v>478</v>
      </c>
      <c r="E35" s="5" t="s">
        <v>432</v>
      </c>
    </row>
    <row r="36" spans="1:5">
      <c r="A36" s="5" t="s">
        <v>293</v>
      </c>
      <c r="B36" s="5" t="s">
        <v>297</v>
      </c>
      <c r="C36" s="7" t="s">
        <v>430</v>
      </c>
      <c r="D36" s="5" t="s">
        <v>479</v>
      </c>
      <c r="E36" s="5" t="s">
        <v>432</v>
      </c>
    </row>
    <row r="37" spans="1:5">
      <c r="A37" s="5" t="s">
        <v>297</v>
      </c>
      <c r="B37" s="5"/>
      <c r="C37" s="8" t="s">
        <v>435</v>
      </c>
      <c r="D37" s="5" t="s">
        <v>480</v>
      </c>
      <c r="E37" s="5" t="s">
        <v>432</v>
      </c>
    </row>
    <row r="38" spans="1:5">
      <c r="A38" s="5" t="s">
        <v>304</v>
      </c>
      <c r="B38" s="5" t="s">
        <v>306</v>
      </c>
      <c r="C38" s="7" t="s">
        <v>430</v>
      </c>
      <c r="D38" s="5" t="s">
        <v>481</v>
      </c>
      <c r="E38" s="5" t="s">
        <v>432</v>
      </c>
    </row>
    <row r="39" spans="1:5">
      <c r="A39" s="5" t="s">
        <v>309</v>
      </c>
      <c r="B39" s="5" t="s">
        <v>291</v>
      </c>
      <c r="C39" s="7" t="s">
        <v>430</v>
      </c>
      <c r="D39" s="5" t="s">
        <v>482</v>
      </c>
      <c r="E39" s="5" t="s">
        <v>432</v>
      </c>
    </row>
    <row r="40" spans="1:5" ht="25.5">
      <c r="A40" s="5" t="s">
        <v>312</v>
      </c>
      <c r="B40" s="5" t="s">
        <v>302</v>
      </c>
      <c r="C40" s="7" t="s">
        <v>430</v>
      </c>
      <c r="D40" s="5" t="s">
        <v>483</v>
      </c>
      <c r="E40" s="5" t="s">
        <v>432</v>
      </c>
    </row>
    <row r="41" spans="1:5">
      <c r="A41" s="5" t="s">
        <v>315</v>
      </c>
      <c r="B41" s="5"/>
      <c r="C41" s="8" t="s">
        <v>435</v>
      </c>
      <c r="D41" s="5" t="s">
        <v>484</v>
      </c>
      <c r="E41" s="5" t="s">
        <v>432</v>
      </c>
    </row>
    <row r="42" spans="1:5">
      <c r="A42" s="5" t="s">
        <v>318</v>
      </c>
      <c r="B42" s="5"/>
      <c r="C42" s="8" t="s">
        <v>435</v>
      </c>
      <c r="D42" s="5" t="s">
        <v>485</v>
      </c>
      <c r="E42" s="5" t="s">
        <v>432</v>
      </c>
    </row>
    <row r="43" spans="1:5">
      <c r="A43" s="5" t="s">
        <v>322</v>
      </c>
      <c r="B43" s="5" t="s">
        <v>300</v>
      </c>
      <c r="C43" s="9" t="s">
        <v>486</v>
      </c>
      <c r="D43" s="5" t="s">
        <v>487</v>
      </c>
      <c r="E43" s="5" t="s">
        <v>432</v>
      </c>
    </row>
    <row r="44" spans="1:5">
      <c r="A44" s="5" t="s">
        <v>488</v>
      </c>
      <c r="B44" s="5" t="s">
        <v>488</v>
      </c>
      <c r="C44" s="9" t="s">
        <v>486</v>
      </c>
      <c r="D44" s="5" t="s">
        <v>489</v>
      </c>
      <c r="E44" s="5" t="s">
        <v>432</v>
      </c>
    </row>
  </sheetData>
  <autoFilter ref="A4:E4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zoomScaleNormal="100" workbookViewId="0">
      <pane ySplit="4" topLeftCell="A5" activePane="bottomLeft" state="frozen"/>
      <selection pane="bottomLeft" activeCell="C2" sqref="C2"/>
    </sheetView>
  </sheetViews>
  <sheetFormatPr defaultColWidth="8.7109375" defaultRowHeight="15"/>
  <cols>
    <col min="1" max="1" width="6" customWidth="1"/>
    <col min="2" max="2" width="12" customWidth="1"/>
    <col min="3" max="3" width="70" customWidth="1"/>
    <col min="4" max="4" width="44" customWidth="1"/>
    <col min="5" max="6" width="22" customWidth="1"/>
    <col min="7" max="7" width="12" customWidth="1"/>
  </cols>
  <sheetData>
    <row r="1" spans="1:7" ht="18" customHeight="1">
      <c r="A1" s="1" t="s">
        <v>490</v>
      </c>
    </row>
    <row r="2" spans="1:7">
      <c r="A2" s="2" t="s">
        <v>491</v>
      </c>
    </row>
    <row r="4" spans="1:7" ht="25.5" customHeight="1">
      <c r="A4" s="11" t="s">
        <v>6</v>
      </c>
      <c r="B4" s="11" t="s">
        <v>492</v>
      </c>
      <c r="C4" s="11" t="s">
        <v>7</v>
      </c>
      <c r="D4" s="11" t="s">
        <v>493</v>
      </c>
      <c r="E4" s="11" t="s">
        <v>494</v>
      </c>
      <c r="F4" s="11" t="s">
        <v>495</v>
      </c>
      <c r="G4" s="11" t="s">
        <v>496</v>
      </c>
    </row>
    <row r="5" spans="1:7" ht="25.5" customHeight="1">
      <c r="A5" s="12" t="s">
        <v>497</v>
      </c>
      <c r="B5" s="13">
        <v>46295</v>
      </c>
      <c r="C5" s="14" t="s">
        <v>498</v>
      </c>
      <c r="D5" s="14" t="s">
        <v>499</v>
      </c>
      <c r="E5" s="15" t="s">
        <v>500</v>
      </c>
      <c r="F5" s="14" t="s">
        <v>501</v>
      </c>
      <c r="G5" s="16" t="e">
        <f>IF(B5&lt;#REF!,"Passado",B5-#REF!)</f>
        <v>#REF!</v>
      </c>
    </row>
    <row r="6" spans="1:7">
      <c r="A6" s="12" t="s">
        <v>502</v>
      </c>
      <c r="B6" s="13">
        <v>46296</v>
      </c>
      <c r="C6" s="14" t="s">
        <v>503</v>
      </c>
      <c r="D6" s="14" t="s">
        <v>504</v>
      </c>
      <c r="E6" s="15" t="s">
        <v>505</v>
      </c>
      <c r="F6" s="14" t="s">
        <v>506</v>
      </c>
      <c r="G6" s="16" t="e">
        <f>IF(B6&lt;#REF!,"Passado",B6-#REF!)</f>
        <v>#REF!</v>
      </c>
    </row>
    <row r="7" spans="1:7" ht="25.5">
      <c r="A7" s="12" t="s">
        <v>507</v>
      </c>
      <c r="B7" s="13">
        <v>46296</v>
      </c>
      <c r="C7" s="14" t="s">
        <v>508</v>
      </c>
      <c r="D7" s="14" t="s">
        <v>509</v>
      </c>
      <c r="E7" s="15" t="s">
        <v>510</v>
      </c>
      <c r="F7" s="14" t="s">
        <v>511</v>
      </c>
      <c r="G7" s="16" t="e">
        <f>IF(B7&lt;#REF!,"Passado",B7-#REF!)</f>
        <v>#REF!</v>
      </c>
    </row>
    <row r="8" spans="1:7">
      <c r="A8" s="12" t="s">
        <v>512</v>
      </c>
      <c r="B8" s="13">
        <v>46300</v>
      </c>
      <c r="C8" s="14" t="s">
        <v>513</v>
      </c>
      <c r="D8" s="14" t="s">
        <v>514</v>
      </c>
      <c r="E8" s="15" t="s">
        <v>510</v>
      </c>
      <c r="F8" s="14" t="s">
        <v>515</v>
      </c>
      <c r="G8" s="16" t="e">
        <f>IF(B8&lt;#REF!,"Passado",B8-#REF!)</f>
        <v>#REF!</v>
      </c>
    </row>
    <row r="9" spans="1:7">
      <c r="A9" s="12" t="s">
        <v>516</v>
      </c>
      <c r="B9" s="13">
        <v>46325</v>
      </c>
      <c r="C9" s="14" t="s">
        <v>517</v>
      </c>
      <c r="D9" s="14" t="s">
        <v>518</v>
      </c>
      <c r="E9" s="15" t="s">
        <v>505</v>
      </c>
      <c r="F9" s="14" t="s">
        <v>519</v>
      </c>
      <c r="G9" s="16" t="e">
        <f>IF(B9&lt;#REF!,"Passado",B9-#REF!)</f>
        <v>#REF!</v>
      </c>
    </row>
    <row r="10" spans="1:7" ht="25.5" customHeight="1">
      <c r="A10" s="12" t="s">
        <v>520</v>
      </c>
      <c r="B10" s="13">
        <v>46325</v>
      </c>
      <c r="C10" s="14" t="s">
        <v>521</v>
      </c>
      <c r="D10" s="14" t="s">
        <v>522</v>
      </c>
      <c r="E10" s="15" t="s">
        <v>523</v>
      </c>
      <c r="F10" s="14"/>
      <c r="G10" s="16" t="e">
        <f>IF(B10&lt;#REF!,"Passado",B10-#REF!)</f>
        <v>#REF!</v>
      </c>
    </row>
    <row r="11" spans="1:7" ht="25.5" customHeight="1">
      <c r="A11" s="12" t="s">
        <v>524</v>
      </c>
      <c r="B11" s="13">
        <v>46329</v>
      </c>
      <c r="C11" s="14" t="s">
        <v>525</v>
      </c>
      <c r="D11" s="14" t="s">
        <v>514</v>
      </c>
      <c r="E11" s="15" t="s">
        <v>510</v>
      </c>
      <c r="F11" s="14"/>
      <c r="G11" s="16" t="e">
        <f>IF(B11&lt;#REF!,"Passado",B11-#REF!)</f>
        <v>#REF!</v>
      </c>
    </row>
    <row r="12" spans="1:7" ht="25.5">
      <c r="A12" s="12" t="s">
        <v>526</v>
      </c>
      <c r="B12" s="13">
        <v>46336</v>
      </c>
      <c r="C12" s="14" t="s">
        <v>527</v>
      </c>
      <c r="D12" s="14" t="s">
        <v>528</v>
      </c>
      <c r="E12" s="15" t="s">
        <v>510</v>
      </c>
      <c r="F12" s="14" t="s">
        <v>529</v>
      </c>
      <c r="G12" s="16" t="e">
        <f>IF(B12&lt;#REF!,"Passado",B12-#REF!)</f>
        <v>#REF!</v>
      </c>
    </row>
    <row r="13" spans="1:7" ht="25.5" customHeight="1">
      <c r="A13" s="12" t="s">
        <v>530</v>
      </c>
      <c r="B13" s="13">
        <v>46339</v>
      </c>
      <c r="C13" s="14" t="s">
        <v>531</v>
      </c>
      <c r="D13" s="14" t="s">
        <v>509</v>
      </c>
      <c r="E13" s="15" t="s">
        <v>510</v>
      </c>
      <c r="F13" s="14" t="s">
        <v>511</v>
      </c>
      <c r="G13" s="16" t="e">
        <f>IF(B13&lt;#REF!,"Passado",B13-#REF!)</f>
        <v>#REF!</v>
      </c>
    </row>
    <row r="14" spans="1:7">
      <c r="A14" s="12" t="s">
        <v>532</v>
      </c>
      <c r="B14" s="13">
        <v>46356</v>
      </c>
      <c r="C14" s="14" t="s">
        <v>533</v>
      </c>
      <c r="D14" s="14" t="s">
        <v>499</v>
      </c>
      <c r="E14" s="15" t="s">
        <v>500</v>
      </c>
      <c r="F14" s="14" t="s">
        <v>534</v>
      </c>
      <c r="G14" s="16" t="e">
        <f>IF(B14&lt;#REF!,"Passado",B14-#REF!)</f>
        <v>#REF!</v>
      </c>
    </row>
    <row r="15" spans="1:7">
      <c r="A15" s="12" t="s">
        <v>535</v>
      </c>
      <c r="B15" s="13">
        <v>46356</v>
      </c>
      <c r="C15" s="14" t="s">
        <v>536</v>
      </c>
      <c r="D15" s="14" t="s">
        <v>537</v>
      </c>
      <c r="E15" s="15" t="s">
        <v>538</v>
      </c>
      <c r="F15" s="14" t="s">
        <v>539</v>
      </c>
      <c r="G15" s="16" t="e">
        <f>IF(B15&lt;#REF!,"Passado",B15-#REF!)</f>
        <v>#REF!</v>
      </c>
    </row>
    <row r="16" spans="1:7">
      <c r="A16" s="12" t="s">
        <v>540</v>
      </c>
      <c r="B16" s="13">
        <v>46356</v>
      </c>
      <c r="C16" s="14" t="s">
        <v>541</v>
      </c>
      <c r="D16" s="14" t="s">
        <v>514</v>
      </c>
      <c r="E16" s="15" t="s">
        <v>510</v>
      </c>
      <c r="F16" s="14" t="s">
        <v>542</v>
      </c>
      <c r="G16" s="16" t="e">
        <f>IF(B16&lt;#REF!,"Passado",B16-#REF!)</f>
        <v>#REF!</v>
      </c>
    </row>
    <row r="17" spans="1:7">
      <c r="A17" s="12" t="s">
        <v>543</v>
      </c>
      <c r="B17" s="13">
        <v>46357</v>
      </c>
      <c r="C17" s="14" t="s">
        <v>544</v>
      </c>
      <c r="D17" s="14" t="s">
        <v>504</v>
      </c>
      <c r="E17" s="15" t="s">
        <v>505</v>
      </c>
      <c r="F17" s="14" t="s">
        <v>545</v>
      </c>
      <c r="G17" s="16" t="e">
        <f>IF(B17&lt;#REF!,"Passado",B17-#REF!)</f>
        <v>#REF!</v>
      </c>
    </row>
    <row r="18" spans="1:7" ht="25.5" customHeight="1">
      <c r="A18" s="12" t="s">
        <v>546</v>
      </c>
      <c r="B18" s="13">
        <v>46371</v>
      </c>
      <c r="C18" s="14" t="s">
        <v>547</v>
      </c>
      <c r="D18" s="14" t="s">
        <v>522</v>
      </c>
      <c r="E18" s="15" t="s">
        <v>548</v>
      </c>
      <c r="F18" s="14" t="s">
        <v>549</v>
      </c>
      <c r="G18" s="16" t="e">
        <f>IF(B18&lt;#REF!,"Passado",B18-#REF!)</f>
        <v>#REF!</v>
      </c>
    </row>
    <row r="19" spans="1:7" ht="25.5" customHeight="1">
      <c r="A19" s="12" t="s">
        <v>550</v>
      </c>
      <c r="B19" s="13">
        <v>46387</v>
      </c>
      <c r="C19" s="14" t="s">
        <v>551</v>
      </c>
      <c r="D19" s="14" t="s">
        <v>552</v>
      </c>
      <c r="E19" s="15" t="s">
        <v>510</v>
      </c>
      <c r="F19" s="14" t="s">
        <v>553</v>
      </c>
      <c r="G19" s="16" t="e">
        <f>IF(B19&lt;#REF!,"Passado",B19-#REF!)</f>
        <v>#REF!</v>
      </c>
    </row>
    <row r="20" spans="1:7">
      <c r="A20" s="12" t="s">
        <v>554</v>
      </c>
      <c r="B20" s="13">
        <v>46447</v>
      </c>
      <c r="C20" s="14" t="s">
        <v>555</v>
      </c>
      <c r="D20" s="14" t="s">
        <v>499</v>
      </c>
      <c r="E20" s="15" t="s">
        <v>500</v>
      </c>
      <c r="F20" s="14" t="s">
        <v>556</v>
      </c>
      <c r="G20" s="16" t="e">
        <f>IF(B20&lt;#REF!,"Passado",B20-#REF!)</f>
        <v>#REF!</v>
      </c>
    </row>
    <row r="21" spans="1:7" ht="25.5">
      <c r="A21" s="12" t="s">
        <v>557</v>
      </c>
      <c r="B21" s="13">
        <v>46569</v>
      </c>
      <c r="C21" s="14" t="s">
        <v>558</v>
      </c>
      <c r="D21" s="14" t="s">
        <v>559</v>
      </c>
      <c r="E21" s="15" t="s">
        <v>505</v>
      </c>
      <c r="F21" s="14" t="s">
        <v>560</v>
      </c>
      <c r="G21" s="16" t="e">
        <f>IF(B21&lt;#REF!,"Passado",B21-#REF!)</f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showGridLines="0" zoomScaleNormal="100" workbookViewId="0"/>
  </sheetViews>
  <sheetFormatPr defaultColWidth="8.7109375" defaultRowHeight="15"/>
  <cols>
    <col min="1" max="1" width="6" customWidth="1"/>
    <col min="2" max="2" width="110" customWidth="1"/>
  </cols>
  <sheetData>
    <row r="1" spans="1:2" ht="18" customHeight="1">
      <c r="A1" s="1" t="s">
        <v>561</v>
      </c>
    </row>
    <row r="3" spans="1:2">
      <c r="A3" s="17" t="s">
        <v>562</v>
      </c>
      <c r="B3" s="17" t="s">
        <v>563</v>
      </c>
    </row>
    <row r="4" spans="1:2">
      <c r="A4" s="16">
        <v>1</v>
      </c>
      <c r="B4" s="18" t="s">
        <v>564</v>
      </c>
    </row>
    <row r="5" spans="1:2">
      <c r="A5" s="16">
        <v>2</v>
      </c>
      <c r="B5" s="18" t="s">
        <v>565</v>
      </c>
    </row>
    <row r="6" spans="1:2">
      <c r="A6" s="16">
        <v>3</v>
      </c>
      <c r="B6" s="18" t="s">
        <v>566</v>
      </c>
    </row>
    <row r="7" spans="1:2">
      <c r="A7" s="16">
        <v>4</v>
      </c>
      <c r="B7" s="18" t="s">
        <v>567</v>
      </c>
    </row>
    <row r="8" spans="1:2">
      <c r="A8" s="16">
        <v>5</v>
      </c>
      <c r="B8" s="18" t="s">
        <v>568</v>
      </c>
    </row>
    <row r="9" spans="1:2">
      <c r="A9" s="16">
        <v>6</v>
      </c>
      <c r="B9" s="18" t="s">
        <v>569</v>
      </c>
    </row>
    <row r="10" spans="1:2">
      <c r="A10" s="16">
        <v>7</v>
      </c>
      <c r="B10" s="18" t="s">
        <v>570</v>
      </c>
    </row>
    <row r="11" spans="1:2">
      <c r="A11" s="16">
        <v>8</v>
      </c>
      <c r="B11" s="18" t="s">
        <v>571</v>
      </c>
    </row>
    <row r="12" spans="1:2">
      <c r="A12" s="16">
        <v>9</v>
      </c>
      <c r="B12" s="18" t="s">
        <v>572</v>
      </c>
    </row>
    <row r="13" spans="1:2">
      <c r="A13" s="16">
        <v>10</v>
      </c>
      <c r="B13" s="18" t="s">
        <v>573</v>
      </c>
    </row>
    <row r="14" spans="1:2">
      <c r="A14" s="16">
        <v>11</v>
      </c>
      <c r="B14" s="18" t="s">
        <v>574</v>
      </c>
    </row>
    <row r="15" spans="1:2">
      <c r="A15" s="16">
        <v>12</v>
      </c>
      <c r="B15" s="18" t="s">
        <v>575</v>
      </c>
    </row>
    <row r="16" spans="1:2">
      <c r="A16" s="16">
        <v>13</v>
      </c>
      <c r="B16" s="18" t="s">
        <v>576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showGridLines="0" zoomScaleNormal="100" workbookViewId="0"/>
  </sheetViews>
  <sheetFormatPr defaultColWidth="8.7109375" defaultRowHeight="15"/>
  <cols>
    <col min="1" max="1" width="14" customWidth="1"/>
    <col min="2" max="2" width="32" customWidth="1"/>
  </cols>
  <sheetData>
    <row r="1" spans="1:2">
      <c r="A1" s="17" t="s">
        <v>492</v>
      </c>
      <c r="B1" s="17" t="s">
        <v>577</v>
      </c>
    </row>
    <row r="2" spans="1:2">
      <c r="A2" s="19">
        <v>46307</v>
      </c>
      <c r="B2" s="18" t="s">
        <v>578</v>
      </c>
    </row>
    <row r="3" spans="1:2">
      <c r="A3" s="19">
        <v>46328</v>
      </c>
      <c r="B3" s="18" t="s">
        <v>579</v>
      </c>
    </row>
    <row r="4" spans="1:2">
      <c r="A4" s="19">
        <v>46341</v>
      </c>
      <c r="B4" s="18" t="s">
        <v>580</v>
      </c>
    </row>
    <row r="5" spans="1:2">
      <c r="A5" s="19">
        <v>46346</v>
      </c>
      <c r="B5" s="18" t="s">
        <v>581</v>
      </c>
    </row>
    <row r="6" spans="1:2">
      <c r="A6" s="19">
        <v>46381</v>
      </c>
      <c r="B6" s="18" t="s">
        <v>582</v>
      </c>
    </row>
    <row r="7" spans="1:2">
      <c r="A7" s="19">
        <v>46388</v>
      </c>
      <c r="B7" s="18" t="s">
        <v>583</v>
      </c>
    </row>
    <row r="8" spans="1:2">
      <c r="A8" s="19">
        <v>46433</v>
      </c>
      <c r="B8" s="18" t="s">
        <v>584</v>
      </c>
    </row>
    <row r="9" spans="1:2">
      <c r="A9" s="19">
        <v>46434</v>
      </c>
      <c r="B9" s="18" t="s">
        <v>584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Projetos</cp:lastModifiedBy>
  <cp:revision>0</cp:revision>
  <dcterms:created xsi:type="dcterms:W3CDTF">2026-09-21T16:56:06Z</dcterms:created>
  <dcterms:modified xsi:type="dcterms:W3CDTF">2026-10-09T20:27:50Z</dcterms:modified>
  <cp:category/>
  <cp:contentStatus/>
</cp:coreProperties>
</file>